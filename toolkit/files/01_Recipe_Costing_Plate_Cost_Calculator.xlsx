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cipe Costing" sheetId="2" state="visible" r:id="rId2"/>
  </sheets>
  <definedNames>
    <definedName name="_xlnm.Print_Area" localSheetId="1">'Recipe Costing'!$A$1:$H$46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00"/>
    <numFmt numFmtId="167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D4A843"/>
      <sz val="12"/>
    </font>
    <font>
      <name val="Calibri"/>
      <color rgb="002D2D2D"/>
      <sz val="11"/>
    </font>
    <font>
      <name val="Calibri"/>
      <b val="1"/>
      <color rgb="002D2D2D"/>
      <sz val="11"/>
    </font>
    <font>
      <name val="Calibri"/>
      <i val="1"/>
      <color rgb="00888888"/>
      <sz val="9"/>
    </font>
    <font>
      <name val="Calibri"/>
      <color rgb="001A1A1A"/>
      <sz val="11"/>
    </font>
    <font>
      <name val="Calibri"/>
      <b val="1"/>
      <color rgb="00FFFFFF"/>
      <sz val="11"/>
    </font>
    <font>
      <name val="Calibri"/>
      <b val="1"/>
      <color rgb="002D2D2D"/>
      <sz val="16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9E6"/>
        <bgColor rgb="00FFF9E6"/>
      </patternFill>
    </fill>
    <fill>
      <patternFill patternType="solid">
        <fgColor rgb="00F2F2F2"/>
        <bgColor rgb="00F2F2F2"/>
      </patternFill>
    </fill>
    <fill>
      <patternFill patternType="solid">
        <fgColor rgb="00D4A843"/>
        <bgColor rgb="00D4A843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center" vertical="center" wrapText="1"/>
    </xf>
    <xf numFmtId="9" fontId="6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5" pivotButton="0" quotePrefix="0" xfId="0"/>
    <xf numFmtId="0" fontId="0" fillId="5" borderId="0" pivotButton="0" quotePrefix="0" xfId="0"/>
    <xf numFmtId="164" fontId="8" fillId="4" borderId="1" applyAlignment="1" pivotButton="0" quotePrefix="0" xfId="0">
      <alignment horizontal="center" vertical="center" wrapText="1"/>
    </xf>
    <xf numFmtId="167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A843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</cols>
  <sheetData>
    <row r="1">
      <c r="A1" s="1" t="inlineStr">
        <is>
          <t>Recipe Costing &amp; Plate Cost Calculator</t>
        </is>
      </c>
      <c r="B1" s="2" t="n"/>
    </row>
    <row r="2">
      <c r="A2" s="3" t="inlineStr">
        <is>
          <t>The Grumpy Chef Template Bundle</t>
        </is>
      </c>
      <c r="B2" s="2" t="n"/>
    </row>
    <row r="4">
      <c r="A4" s="4" t="inlineStr"/>
      <c r="B4" s="5" t="inlineStr">
        <is>
          <t>Yellow cells = YOUR INPUT (type here)</t>
        </is>
      </c>
    </row>
    <row r="5">
      <c r="A5" s="6" t="inlineStr"/>
      <c r="B5" s="5" t="inlineStr">
        <is>
          <t>Gray cells = AUTO-CALCULATED (don't touch)</t>
        </is>
      </c>
    </row>
    <row r="7">
      <c r="A7" t="inlineStr"/>
      <c r="B7" s="7" t="inlineStr">
        <is>
          <t>What This Template Does</t>
        </is>
      </c>
    </row>
    <row r="8">
      <c r="B8" s="8" t="inlineStr">
        <is>
          <t>Calculates the TRUE cost of every dish on your menu — including yield loss, labor, overhead, and the Q-Factor.</t>
        </is>
      </c>
    </row>
    <row r="9">
      <c r="B9" s="8" t="inlineStr">
        <is>
          <t>Most chefs cost recipes using raw ingredient prices. This template uses Edible Portion (EP) cost, which accounts for trim, bones, skin, and cooking loss.</t>
        </is>
      </c>
    </row>
    <row r="10">
      <c r="B10" s="8" t="inlineStr">
        <is>
          <t>The difference between AP cost and EP cost can be 50-200% on proteins.</t>
        </is>
      </c>
    </row>
    <row r="12">
      <c r="A12" t="inlineStr"/>
      <c r="B12" s="7" t="inlineStr">
        <is>
          <t>How To Use It</t>
        </is>
      </c>
    </row>
    <row r="13">
      <c r="B13" s="8" t="inlineStr">
        <is>
          <t>1. Fill in your restaurant settings (hourly wage, monthly overhead, dishes served) in the Settings section</t>
        </is>
      </c>
    </row>
    <row r="14">
      <c r="B14" s="8" t="inlineStr">
        <is>
          <t>2. Enter each ingredient with its As Purchased (AP) cost and yield percentage</t>
        </is>
      </c>
    </row>
    <row r="15">
      <c r="B15" s="8" t="inlineStr">
        <is>
          <t>3. The template auto-calculates EP cost, total recipe cost, labor, overhead, and Q-Factor</t>
        </is>
      </c>
    </row>
    <row r="16">
      <c r="B16" s="8" t="inlineStr">
        <is>
          <t>4. Enter your target food cost % to get a recommended menu price</t>
        </is>
      </c>
    </row>
    <row r="17">
      <c r="B17" s="8" t="inlineStr">
        <is>
          <t>5. Use the Plate Cost Summary to see the full breakdown</t>
        </is>
      </c>
    </row>
    <row r="19">
      <c r="A19" t="inlineStr"/>
      <c r="B19" s="7" t="inlineStr">
        <is>
          <t>Key Formulas</t>
        </is>
      </c>
    </row>
    <row r="20">
      <c r="B20" s="8" t="inlineStr">
        <is>
          <t>EP Cost = AP Cost / Yield %</t>
        </is>
      </c>
    </row>
    <row r="21">
      <c r="B21" s="8" t="inlineStr">
        <is>
          <t>Total Recipe Cost = Sum of (EP Cost x Quantity Used)</t>
        </is>
      </c>
    </row>
    <row r="22">
      <c r="B22" s="8" t="inlineStr">
        <is>
          <t>Final Plate Cost = Recipe Cost + Labor + Overhead + Q-Factor</t>
        </is>
      </c>
    </row>
    <row r="23">
      <c r="B23" s="8" t="inlineStr">
        <is>
          <t>Recommended Price = Final Plate Cost / Target Food Cost %</t>
        </is>
      </c>
    </row>
    <row r="25">
      <c r="A25" t="inlineStr"/>
      <c r="B25" s="7" t="inlineStr">
        <is>
          <t>Yield % Guide</t>
        </is>
      </c>
    </row>
    <row r="26">
      <c r="B26" s="8" t="inlineStr">
        <is>
          <t>Whole chicken: 55-65%  |  Salmon fillet (skin-on): 85-90%  |  Whole salmon: 55-65%</t>
        </is>
      </c>
    </row>
    <row r="27">
      <c r="B27" s="8" t="inlineStr">
        <is>
          <t>Beef tenderloin: 70-80%  |  Whole turkey: 35-40%  |  Onions: 88-92%</t>
        </is>
      </c>
    </row>
    <row r="28">
      <c r="B28" s="8" t="inlineStr">
        <is>
          <t>Lettuce: 70-75%  |  Potatoes: 80-85%  |  Carrots: 80-85%</t>
        </is>
      </c>
    </row>
    <row r="31">
      <c r="A31" s="9" t="inlineStr">
        <is>
          <t>Built by The Grumpy Chef — thegrumpychef.ca</t>
        </is>
      </c>
    </row>
  </sheetData>
  <mergeCells count="3">
    <mergeCell ref="A31:B31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4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0" t="inlineStr">
        <is>
          <t>Recipe Costing &amp; Plate Cost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1" t="inlineStr">
        <is>
          <t>Enter your ingredients below — all costs auto-calculate</t>
        </is>
      </c>
      <c r="B2" s="2" t="n"/>
      <c r="C2" s="2" t="n"/>
      <c r="D2" s="2" t="n"/>
      <c r="E2" s="2" t="n"/>
      <c r="F2" s="2" t="n"/>
      <c r="G2" s="2" t="n"/>
      <c r="H2" s="2" t="n"/>
    </row>
    <row r="4">
      <c r="A4" s="12" t="inlineStr">
        <is>
          <t>RESTAURANT SETTINGS</t>
        </is>
      </c>
    </row>
    <row r="5">
      <c r="A5" s="13" t="inlineStr">
        <is>
          <t>Average Hourly Wage ($)</t>
        </is>
      </c>
      <c r="B5" s="14" t="n">
        <v>22</v>
      </c>
    </row>
    <row r="6">
      <c r="A6" s="13" t="inlineStr">
        <is>
          <t>Monthly Overhead ($)</t>
        </is>
      </c>
      <c r="B6" s="15" t="n">
        <v>12000</v>
      </c>
    </row>
    <row r="7">
      <c r="A7" s="13" t="inlineStr">
        <is>
          <t>Total Dishes Served / Month</t>
        </is>
      </c>
      <c r="B7" s="16" t="n">
        <v>4500</v>
      </c>
    </row>
    <row r="8">
      <c r="A8" s="13" t="inlineStr">
        <is>
          <t>Q-Factor (%)</t>
        </is>
      </c>
      <c r="B8" s="17" t="n">
        <v>0.06</v>
      </c>
    </row>
    <row r="9">
      <c r="A9" s="13" t="inlineStr">
        <is>
          <t>Target Food Cost (%)</t>
        </is>
      </c>
      <c r="B9" s="17" t="n">
        <v>0.3</v>
      </c>
    </row>
    <row r="10">
      <c r="A10" s="13" t="inlineStr">
        <is>
          <t>Overhead Per Dish</t>
        </is>
      </c>
      <c r="B10" s="18">
        <f>B6/B7</f>
        <v/>
      </c>
    </row>
    <row r="12">
      <c r="A12" s="12" t="inlineStr">
        <is>
          <t>RECIPE NAME:</t>
        </is>
      </c>
      <c r="B12" s="19" t="inlineStr">
        <is>
          <t>Enter Recipe Name Here</t>
        </is>
      </c>
      <c r="C12" s="20" t="n"/>
      <c r="D12" s="21" t="n"/>
    </row>
    <row r="13">
      <c r="A13" s="13" t="inlineStr">
        <is>
          <t>Prep Time (minutes):</t>
        </is>
      </c>
      <c r="B13" s="16" t="n">
        <v>15</v>
      </c>
    </row>
    <row r="14">
      <c r="A14" s="13" t="inlineStr">
        <is>
          <t>Portions Per Recipe:</t>
        </is>
      </c>
      <c r="B14" s="16" t="n">
        <v>4</v>
      </c>
    </row>
    <row r="16">
      <c r="A16" s="22" t="inlineStr">
        <is>
          <t>Ingredient</t>
        </is>
      </c>
      <c r="B16" s="22" t="inlineStr">
        <is>
          <t>AP Cost/Unit</t>
        </is>
      </c>
      <c r="C16" s="22" t="inlineStr">
        <is>
          <t>Unit</t>
        </is>
      </c>
      <c r="D16" s="22" t="inlineStr">
        <is>
          <t>Yield %</t>
        </is>
      </c>
      <c r="E16" s="22" t="inlineStr">
        <is>
          <t>EP Cost/Unit</t>
        </is>
      </c>
      <c r="F16" s="22" t="inlineStr">
        <is>
          <t>Qty Used</t>
        </is>
      </c>
      <c r="G16" s="22" t="inlineStr">
        <is>
          <t>Unit</t>
        </is>
      </c>
      <c r="H16" s="22" t="inlineStr">
        <is>
          <t>Line Cost</t>
        </is>
      </c>
    </row>
    <row r="17">
      <c r="A17" s="23" t="inlineStr">
        <is>
          <t>Salmon fillet, skin-on</t>
        </is>
      </c>
      <c r="B17" s="14" t="n">
        <v>14.99</v>
      </c>
      <c r="C17" s="19" t="inlineStr">
        <is>
          <t>lb</t>
        </is>
      </c>
      <c r="D17" s="17" t="n">
        <v>0.85</v>
      </c>
      <c r="E17" s="18">
        <f>IF(D17="","",B17/D17)</f>
        <v/>
      </c>
      <c r="F17" s="24" t="n">
        <v>0.5</v>
      </c>
      <c r="G17" s="19" t="inlineStr">
        <is>
          <t>lb</t>
        </is>
      </c>
      <c r="H17" s="18">
        <f>IF(E17="","",E17*F17)</f>
        <v/>
      </c>
    </row>
    <row r="18">
      <c r="A18" s="23" t="inlineStr">
        <is>
          <t>Asparagus</t>
        </is>
      </c>
      <c r="B18" s="14" t="n">
        <v>4.99</v>
      </c>
      <c r="C18" s="19" t="inlineStr">
        <is>
          <t>bunch</t>
        </is>
      </c>
      <c r="D18" s="17" t="n">
        <v>0.75</v>
      </c>
      <c r="E18" s="18">
        <f>IF(D18="","",B18/D18)</f>
        <v/>
      </c>
      <c r="F18" s="24" t="n">
        <v>1</v>
      </c>
      <c r="G18" s="19" t="inlineStr">
        <is>
          <t>bunch</t>
        </is>
      </c>
      <c r="H18" s="18">
        <f>IF(E18="","",E18*F18)</f>
        <v/>
      </c>
    </row>
    <row r="19">
      <c r="A19" s="23" t="inlineStr">
        <is>
          <t>Butter</t>
        </is>
      </c>
      <c r="B19" s="14" t="n">
        <v>6.49</v>
      </c>
      <c r="C19" s="19" t="inlineStr">
        <is>
          <t>lb</t>
        </is>
      </c>
      <c r="D19" s="17" t="n">
        <v>1</v>
      </c>
      <c r="E19" s="18">
        <f>IF(D19="","",B19/D19)</f>
        <v/>
      </c>
      <c r="F19" s="24" t="n">
        <v>0.125</v>
      </c>
      <c r="G19" s="19" t="inlineStr">
        <is>
          <t>lb</t>
        </is>
      </c>
      <c r="H19" s="18">
        <f>IF(E19="","",E19*F19)</f>
        <v/>
      </c>
    </row>
    <row r="20">
      <c r="A20" s="23" t="inlineStr">
        <is>
          <t>Lemon</t>
        </is>
      </c>
      <c r="B20" s="14" t="n">
        <v>0.79</v>
      </c>
      <c r="C20" s="19" t="inlineStr">
        <is>
          <t>each</t>
        </is>
      </c>
      <c r="D20" s="17" t="n">
        <v>0.65</v>
      </c>
      <c r="E20" s="18">
        <f>IF(D20="","",B20/D20)</f>
        <v/>
      </c>
      <c r="F20" s="24" t="n">
        <v>2</v>
      </c>
      <c r="G20" s="19" t="inlineStr">
        <is>
          <t>each</t>
        </is>
      </c>
      <c r="H20" s="18">
        <f>IF(E20="","",E20*F20)</f>
        <v/>
      </c>
    </row>
    <row r="21">
      <c r="A21" s="23" t="inlineStr">
        <is>
          <t>Fresh dill</t>
        </is>
      </c>
      <c r="B21" s="14" t="n">
        <v>2.99</v>
      </c>
      <c r="C21" s="19" t="inlineStr">
        <is>
          <t>bunch</t>
        </is>
      </c>
      <c r="D21" s="17" t="n">
        <v>0.8</v>
      </c>
      <c r="E21" s="18">
        <f>IF(D21="","",B21/D21)</f>
        <v/>
      </c>
      <c r="F21" s="24" t="n">
        <v>0.25</v>
      </c>
      <c r="G21" s="19" t="inlineStr">
        <is>
          <t>bunch</t>
        </is>
      </c>
      <c r="H21" s="18">
        <f>IF(E21="","",E21*F21)</f>
        <v/>
      </c>
    </row>
    <row r="22">
      <c r="A22" s="23" t="n"/>
      <c r="B22" s="14" t="n"/>
      <c r="C22" s="19" t="n"/>
      <c r="D22" s="17" t="n"/>
      <c r="E22" s="18">
        <f>IF(D22="","",B22/D22)</f>
        <v/>
      </c>
      <c r="F22" s="24" t="n"/>
      <c r="G22" s="19" t="n"/>
      <c r="H22" s="18">
        <f>IF(E22="","",E22*F22)</f>
        <v/>
      </c>
    </row>
    <row r="23">
      <c r="A23" s="23" t="n"/>
      <c r="B23" s="14" t="n"/>
      <c r="C23" s="19" t="n"/>
      <c r="D23" s="17" t="n"/>
      <c r="E23" s="18">
        <f>IF(D23="","",B23/D23)</f>
        <v/>
      </c>
      <c r="F23" s="24" t="n"/>
      <c r="G23" s="19" t="n"/>
      <c r="H23" s="18">
        <f>IF(E23="","",E23*F23)</f>
        <v/>
      </c>
    </row>
    <row r="24">
      <c r="A24" s="23" t="n"/>
      <c r="B24" s="14" t="n"/>
      <c r="C24" s="19" t="n"/>
      <c r="D24" s="17" t="n"/>
      <c r="E24" s="18">
        <f>IF(D24="","",B24/D24)</f>
        <v/>
      </c>
      <c r="F24" s="24" t="n"/>
      <c r="G24" s="19" t="n"/>
      <c r="H24" s="18">
        <f>IF(E24="","",E24*F24)</f>
        <v/>
      </c>
    </row>
    <row r="25">
      <c r="A25" s="23" t="n"/>
      <c r="B25" s="14" t="n"/>
      <c r="C25" s="19" t="n"/>
      <c r="D25" s="17" t="n"/>
      <c r="E25" s="18">
        <f>IF(D25="","",B25/D25)</f>
        <v/>
      </c>
      <c r="F25" s="24" t="n"/>
      <c r="G25" s="19" t="n"/>
      <c r="H25" s="18">
        <f>IF(E25="","",E25*F25)</f>
        <v/>
      </c>
    </row>
    <row r="26">
      <c r="A26" s="23" t="n"/>
      <c r="B26" s="14" t="n"/>
      <c r="C26" s="19" t="n"/>
      <c r="D26" s="17" t="n"/>
      <c r="E26" s="18">
        <f>IF(D26="","",B26/D26)</f>
        <v/>
      </c>
      <c r="F26" s="24" t="n"/>
      <c r="G26" s="19" t="n"/>
      <c r="H26" s="18">
        <f>IF(E26="","",E26*F26)</f>
        <v/>
      </c>
    </row>
    <row r="27">
      <c r="A27" s="23" t="n"/>
      <c r="B27" s="14" t="n"/>
      <c r="C27" s="19" t="n"/>
      <c r="D27" s="17" t="n"/>
      <c r="E27" s="18">
        <f>IF(D27="","",B27/D27)</f>
        <v/>
      </c>
      <c r="F27" s="24" t="n"/>
      <c r="G27" s="19" t="n"/>
      <c r="H27" s="18">
        <f>IF(E27="","",E27*F27)</f>
        <v/>
      </c>
    </row>
    <row r="28">
      <c r="A28" s="23" t="n"/>
      <c r="B28" s="14" t="n"/>
      <c r="C28" s="19" t="n"/>
      <c r="D28" s="17" t="n"/>
      <c r="E28" s="18">
        <f>IF(D28="","",B28/D28)</f>
        <v/>
      </c>
      <c r="F28" s="24" t="n"/>
      <c r="G28" s="19" t="n"/>
      <c r="H28" s="18">
        <f>IF(E28="","",E28*F28)</f>
        <v/>
      </c>
    </row>
    <row r="29">
      <c r="A29" s="23" t="n"/>
      <c r="B29" s="14" t="n"/>
      <c r="C29" s="19" t="n"/>
      <c r="D29" s="17" t="n"/>
      <c r="E29" s="18">
        <f>IF(D29="","",B29/D29)</f>
        <v/>
      </c>
      <c r="F29" s="24" t="n"/>
      <c r="G29" s="19" t="n"/>
      <c r="H29" s="18">
        <f>IF(E29="","",E29*F29)</f>
        <v/>
      </c>
    </row>
    <row r="30">
      <c r="A30" s="23" t="n"/>
      <c r="B30" s="14" t="n"/>
      <c r="C30" s="19" t="n"/>
      <c r="D30" s="17" t="n"/>
      <c r="E30" s="18">
        <f>IF(D30="","",B30/D30)</f>
        <v/>
      </c>
      <c r="F30" s="24" t="n"/>
      <c r="G30" s="19" t="n"/>
      <c r="H30" s="18">
        <f>IF(E30="","",E30*F30)</f>
        <v/>
      </c>
    </row>
    <row r="31">
      <c r="A31" s="23" t="n"/>
      <c r="B31" s="14" t="n"/>
      <c r="C31" s="19" t="n"/>
      <c r="D31" s="17" t="n"/>
      <c r="E31" s="18">
        <f>IF(D31="","",B31/D31)</f>
        <v/>
      </c>
      <c r="F31" s="24" t="n"/>
      <c r="G31" s="19" t="n"/>
      <c r="H31" s="18">
        <f>IF(E31="","",E31*F31)</f>
        <v/>
      </c>
    </row>
    <row r="33">
      <c r="A33" s="25" t="inlineStr">
        <is>
          <t>PLATE COST SUMMARY</t>
        </is>
      </c>
      <c r="B33" s="26" t="n"/>
      <c r="C33" s="27" t="n"/>
      <c r="D33" s="27" t="n"/>
      <c r="E33" s="27" t="n"/>
      <c r="F33" s="27" t="n"/>
      <c r="G33" s="27" t="n"/>
      <c r="H33" s="27" t="n"/>
    </row>
    <row r="34">
      <c r="A34" s="13" t="inlineStr">
        <is>
          <t>Total Recipe Ingredient Cost</t>
        </is>
      </c>
      <c r="B34" s="18">
        <f>SUM(H17:H31)</f>
        <v/>
      </c>
    </row>
    <row r="35">
      <c r="A35" s="13" t="inlineStr">
        <is>
          <t>Ingredient Cost Per Portion</t>
        </is>
      </c>
      <c r="B35" s="18">
        <f>IF(B14=0,0,B34/B14)</f>
        <v/>
      </c>
    </row>
    <row r="36">
      <c r="A36" s="13" t="inlineStr">
        <is>
          <t>Labor Cost Per Portion</t>
        </is>
      </c>
      <c r="B36" s="18">
        <f>IF(B14=0,0,(B5/60*B13)/B14)</f>
        <v/>
      </c>
    </row>
    <row r="37">
      <c r="A37" s="13" t="inlineStr">
        <is>
          <t>Overhead Per Portion</t>
        </is>
      </c>
      <c r="B37" s="18">
        <f>B10</f>
        <v/>
      </c>
    </row>
    <row r="38">
      <c r="A38" s="13" t="inlineStr">
        <is>
          <t>Q-Factor (condiments, garnish, extras)</t>
        </is>
      </c>
      <c r="B38" s="18">
        <f>B35*B8</f>
        <v/>
      </c>
    </row>
    <row r="40">
      <c r="A40" s="12" t="inlineStr">
        <is>
          <t>FINAL PLATE COST</t>
        </is>
      </c>
      <c r="B40" s="28">
        <f>B35+B36+B37+B38</f>
        <v/>
      </c>
    </row>
    <row r="41">
      <c r="A41" s="13" t="inlineStr">
        <is>
          <t>Recommended Menu Price</t>
        </is>
      </c>
      <c r="B41" s="28">
        <f>IF(B9=0,0,B40/B9)</f>
        <v/>
      </c>
    </row>
    <row r="43">
      <c r="A43" s="13" t="inlineStr">
        <is>
          <t>Actual Food Cost % (at recommended price)</t>
        </is>
      </c>
      <c r="B43" s="29">
        <f>B9</f>
        <v/>
      </c>
    </row>
    <row r="44">
      <c r="A44" s="13" t="inlineStr">
        <is>
          <t>Contribution Margin (per plate)</t>
        </is>
      </c>
      <c r="B44" s="18">
        <f>B41-B40</f>
        <v/>
      </c>
    </row>
    <row r="46">
      <c r="A46" s="30" t="inlineStr">
        <is>
          <t>Built by The Grumpy Chef — thegrumpychef.ca</t>
        </is>
      </c>
    </row>
  </sheetData>
  <mergeCells count="5">
    <mergeCell ref="A46:H46"/>
    <mergeCell ref="A33:B33"/>
    <mergeCell ref="A2:H2"/>
    <mergeCell ref="A1:H1"/>
    <mergeCell ref="B12:D12"/>
  </mergeCells>
  <pageMargins left="0.75" right="0.75" top="1" bottom="1" header="0.5" footer="0.5"/>
  <pageSetup orientation="landscape" fitToHeight="0" fitToWidth="1"/>
  <headerFooter>
    <oddHeader/>
    <oddFooter>&amp;CBuilt by The Grumpy Chef — thegrumpychef.ca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2026-02-25T19:27:24Z</dcterms:created>
  <dcterms:modified xsi:type="dcterms:W3CDTF">2026-02-25T19:27:24Z</dcterms:modified>
</cp:coreProperties>
</file>