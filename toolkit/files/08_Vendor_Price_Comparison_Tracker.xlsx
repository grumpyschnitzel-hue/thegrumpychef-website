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Vendor Comparison" sheetId="2" state="visible" r:id="rId2"/>
  </sheets>
  <definedNames>
    <definedName name="_xlnm.Print_Area" localSheetId="1">'Vendor Comparison'!$A$1:$I$45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D4A843"/>
      <sz val="12"/>
    </font>
    <font>
      <name val="Calibri"/>
      <color rgb="002D2D2D"/>
      <sz val="11"/>
    </font>
    <font>
      <name val="Calibri"/>
      <b val="1"/>
      <color rgb="002D2D2D"/>
      <sz val="11"/>
    </font>
    <font>
      <name val="Calibri"/>
      <i val="1"/>
      <color rgb="00888888"/>
      <sz val="9"/>
    </font>
    <font>
      <name val="Calibri"/>
      <color rgb="001A1A1A"/>
      <sz val="11"/>
    </font>
    <font>
      <name val="Calibri"/>
      <b val="1"/>
      <color rgb="00FFFFFF"/>
      <sz val="11"/>
    </font>
    <font>
      <name val="Calibri"/>
      <b val="1"/>
      <color rgb="0027AE60"/>
      <sz val="11"/>
    </font>
    <font>
      <name val="Calibri"/>
      <b val="1"/>
      <color rgb="002D2D2D"/>
      <sz val="16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9E6"/>
        <bgColor rgb="00FFF9E6"/>
      </patternFill>
    </fill>
    <fill>
      <patternFill patternType="solid">
        <fgColor rgb="00F2F2F2"/>
        <bgColor rgb="00F2F2F2"/>
      </patternFill>
    </fill>
    <fill>
      <patternFill patternType="solid">
        <fgColor rgb="00D4A843"/>
        <bgColor rgb="00D4A843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1" pivotButton="0" quotePrefix="0" xfId="0"/>
    <xf numFmtId="0" fontId="3" fillId="0" borderId="0" pivotButton="0" quotePrefix="0" xfId="0"/>
    <xf numFmtId="0" fontId="0" fillId="4" borderId="1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center" vertical="center" wrapText="1"/>
    </xf>
    <xf numFmtId="164" fontId="8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4" fillId="5" borderId="0" pivotButton="0" quotePrefix="0" xfId="0"/>
    <xf numFmtId="0" fontId="0" fillId="5" borderId="0" pivotButton="0" quotePrefix="0" xfId="0"/>
    <xf numFmtId="164" fontId="9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EAFAF1"/>
          <bgColor rgb="00EAFA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4A843"/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" customWidth="1" min="1" max="1"/>
    <col width="80" customWidth="1" min="2" max="2"/>
  </cols>
  <sheetData>
    <row r="1">
      <c r="A1" s="1" t="inlineStr">
        <is>
          <t>Vendor Price Comparison Tracker</t>
        </is>
      </c>
      <c r="B1" s="2" t="n"/>
    </row>
    <row r="2">
      <c r="A2" s="3" t="inlineStr">
        <is>
          <t>The Grumpy Chef Template Bundle</t>
        </is>
      </c>
      <c r="B2" s="2" t="n"/>
    </row>
    <row r="4">
      <c r="A4" s="4" t="inlineStr"/>
      <c r="B4" s="5" t="inlineStr">
        <is>
          <t>Yellow cells = YOUR INPUT (type here)</t>
        </is>
      </c>
    </row>
    <row r="5">
      <c r="A5" s="6" t="inlineStr"/>
      <c r="B5" s="5" t="inlineStr">
        <is>
          <t>Gray cells = AUTO-CALCULATED (don't touch)</t>
        </is>
      </c>
    </row>
    <row r="7">
      <c r="A7" t="inlineStr"/>
      <c r="B7" s="7" t="inlineStr">
        <is>
          <t>What This Template Does</t>
        </is>
      </c>
    </row>
    <row r="8">
      <c r="B8" s="8" t="inlineStr">
        <is>
          <t>Compares prices across up to 4 vendors for every item you buy.</t>
        </is>
      </c>
    </row>
    <row r="9">
      <c r="B9" s="8" t="inlineStr">
        <is>
          <t>Your distributor is a tool, not a marriage.</t>
        </is>
      </c>
    </row>
    <row r="10">
      <c r="B10" s="8" t="inlineStr">
        <is>
          <t>Operators report saving $500-1,200/week through strategic cross-shopping.</t>
        </is>
      </c>
    </row>
    <row r="11">
      <c r="B11" s="8" t="inlineStr">
        <is>
          <t>This template shows you exactly where the savings are.</t>
        </is>
      </c>
    </row>
    <row r="13">
      <c r="A13" t="inlineStr"/>
      <c r="B13" s="7" t="inlineStr">
        <is>
          <t>How To Use It</t>
        </is>
      </c>
    </row>
    <row r="14">
      <c r="B14" s="8" t="inlineStr">
        <is>
          <t>1. Enter your common items in column A</t>
        </is>
      </c>
    </row>
    <row r="15">
      <c r="B15" s="8" t="inlineStr">
        <is>
          <t>2. Fill in prices from each vendor (broadliner, secondary, cash-and-carry, retail)</t>
        </is>
      </c>
    </row>
    <row r="16">
      <c r="B16" s="8" t="inlineStr">
        <is>
          <t>3. The template auto-highlights the cheapest source for each item</t>
        </is>
      </c>
    </row>
    <row r="17">
      <c r="B17" s="8" t="inlineStr">
        <is>
          <t>4. Running savings are calculated vs. single-vendor pricing</t>
        </is>
      </c>
    </row>
    <row r="18">
      <c r="B18" s="8" t="inlineStr">
        <is>
          <t>5. Update weekly as vendor prices change</t>
        </is>
      </c>
    </row>
    <row r="20">
      <c r="A20" t="inlineStr"/>
      <c r="B20" s="7" t="inlineStr">
        <is>
          <t>Strategy</t>
        </is>
      </c>
    </row>
    <row r="21">
      <c r="B21" s="8" t="inlineStr">
        <is>
          <t>Maintain a primary broadliner for bulk staples (flour, oil, sugar).</t>
        </is>
      </c>
    </row>
    <row r="22">
      <c r="B22" s="8" t="inlineStr">
        <is>
          <t>Cross-shop everything else: herbs, produce, dairy, proteins.</t>
        </is>
      </c>
    </row>
    <row r="23">
      <c r="B23" s="8" t="inlineStr">
        <is>
          <t>Check retail (Costco, grocery stores) for items where distributor markup is unjustifiable.</t>
        </is>
      </c>
    </row>
    <row r="24">
      <c r="B24" s="8" t="inlineStr">
        <is>
          <t>This isn't cherry-picking. It's staying open.</t>
        </is>
      </c>
    </row>
    <row r="27">
      <c r="A27" s="9" t="inlineStr">
        <is>
          <t>Built by The Grumpy Chef — thegrumpychef.ca</t>
        </is>
      </c>
    </row>
  </sheetData>
  <mergeCells count="3">
    <mergeCell ref="A27:B27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4A843"/>
    <outlinePr summaryBelow="1" summaryRight="1"/>
    <pageSetUpPr fitToPage="1"/>
  </sheetPr>
  <dimension ref="A1:I4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8" customWidth="1" min="9" max="9"/>
  </cols>
  <sheetData>
    <row r="1">
      <c r="A1" s="10" t="inlineStr">
        <is>
          <t>Vendor Price Comparison Tracker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11" t="inlineStr">
        <is>
          <t>Cross-shop everything. Loyalty doesn't pay your rent.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>
      <c r="A4" s="12" t="inlineStr">
        <is>
          <t>Vendor Names:</t>
        </is>
      </c>
      <c r="C4" s="13" t="inlineStr">
        <is>
          <t>Vendor 1:</t>
        </is>
      </c>
      <c r="D4" s="14" t="inlineStr">
        <is>
          <t>Main Broadliner</t>
        </is>
      </c>
      <c r="E4" s="13" t="inlineStr">
        <is>
          <t>Vendor 2:</t>
        </is>
      </c>
      <c r="F4" s="14" t="inlineStr">
        <is>
          <t>Secondary</t>
        </is>
      </c>
    </row>
    <row r="5">
      <c r="C5" s="13" t="inlineStr">
        <is>
          <t>Vendor 3:</t>
        </is>
      </c>
      <c r="D5" s="14" t="inlineStr">
        <is>
          <t>Cash &amp; Carry</t>
        </is>
      </c>
      <c r="E5" s="13" t="inlineStr">
        <is>
          <t>Vendor 4:</t>
        </is>
      </c>
      <c r="F5" s="14" t="inlineStr">
        <is>
          <t>Costco/Retail</t>
        </is>
      </c>
    </row>
    <row r="7">
      <c r="A7" s="15" t="inlineStr">
        <is>
          <t>Item</t>
        </is>
      </c>
      <c r="B7" s="15" t="inlineStr">
        <is>
          <t>Unit</t>
        </is>
      </c>
      <c r="C7" s="15" t="inlineStr">
        <is>
          <t>Vendor 1
Price</t>
        </is>
      </c>
      <c r="D7" s="15" t="inlineStr">
        <is>
          <t>Vendor 2
Price</t>
        </is>
      </c>
      <c r="E7" s="15" t="inlineStr">
        <is>
          <t>Vendor 3
Price</t>
        </is>
      </c>
      <c r="F7" s="15" t="inlineStr">
        <is>
          <t>Vendor 4
Price</t>
        </is>
      </c>
      <c r="G7" s="15" t="inlineStr">
        <is>
          <t>BEST PRICE</t>
        </is>
      </c>
      <c r="H7" s="15" t="inlineStr">
        <is>
          <t>Best Vendor</t>
        </is>
      </c>
      <c r="I7" s="15" t="inlineStr">
        <is>
          <t>Savings vs
Vendor 1</t>
        </is>
      </c>
    </row>
    <row r="8">
      <c r="A8" s="16" t="inlineStr">
        <is>
          <t>English cucumbers</t>
        </is>
      </c>
      <c r="B8" s="14" t="inlineStr">
        <is>
          <t>each</t>
        </is>
      </c>
      <c r="C8" s="17" t="n">
        <v>2.8</v>
      </c>
      <c r="D8" s="17" t="n">
        <v>2.1</v>
      </c>
      <c r="E8" s="17" t="n">
        <v>1.45</v>
      </c>
      <c r="F8" s="17" t="n">
        <v>0.89</v>
      </c>
      <c r="G8" s="18">
        <f>IF(COUNTA(C8:F8)=0,"",MIN(IF(C8&gt;0,C8,9999),IF(D8&gt;0,D8,9999),IF(E8&gt;0,E8,9999),IF(F8&gt;0,F8,9999)))</f>
        <v/>
      </c>
      <c r="H8" s="19">
        <f>IF(G8="","",IF(G8=C8,"Vendor 1",IF(G8=D8,"Vendor 2",IF(G8=E8,"Vendor 3",IF(G8=F8,"Vendor 4","")))))</f>
        <v/>
      </c>
      <c r="I8" s="20">
        <f>IF(OR(G8="",C8=0),"",C8-G8)</f>
        <v/>
      </c>
    </row>
    <row r="9">
      <c r="A9" s="16" t="inlineStr">
        <is>
          <t>Fresh basil</t>
        </is>
      </c>
      <c r="B9" s="14" t="inlineStr">
        <is>
          <t>bunch</t>
        </is>
      </c>
      <c r="C9" s="17" t="n">
        <v>3.5</v>
      </c>
      <c r="D9" s="17" t="n">
        <v>2.75</v>
      </c>
      <c r="E9" s="17" t="n">
        <v>2</v>
      </c>
      <c r="F9" s="17" t="n">
        <v>1.99</v>
      </c>
      <c r="G9" s="18">
        <f>IF(COUNTA(C9:F9)=0,"",MIN(IF(C9&gt;0,C9,9999),IF(D9&gt;0,D9,9999),IF(E9&gt;0,E9,9999),IF(F9&gt;0,F9,9999)))</f>
        <v/>
      </c>
      <c r="H9" s="19">
        <f>IF(G9="","",IF(G9=C9,"Vendor 1",IF(G9=D9,"Vendor 2",IF(G9=E9,"Vendor 3",IF(G9=F9,"Vendor 4","")))))</f>
        <v/>
      </c>
      <c r="I9" s="20">
        <f>IF(OR(G9="",C9=0),"",C9-G9)</f>
        <v/>
      </c>
    </row>
    <row r="10">
      <c r="A10" s="16" t="inlineStr">
        <is>
          <t>Heavy cream (1L)</t>
        </is>
      </c>
      <c r="B10" s="14" t="inlineStr">
        <is>
          <t>L</t>
        </is>
      </c>
      <c r="C10" s="17" t="n">
        <v>5.99</v>
      </c>
      <c r="D10" s="17" t="n">
        <v>5.49</v>
      </c>
      <c r="E10" s="17" t="n">
        <v>4.99</v>
      </c>
      <c r="F10" s="17" t="n">
        <v>4.79</v>
      </c>
      <c r="G10" s="18">
        <f>IF(COUNTA(C10:F10)=0,"",MIN(IF(C10&gt;0,C10,9999),IF(D10&gt;0,D10,9999),IF(E10&gt;0,E10,9999),IF(F10&gt;0,F10,9999)))</f>
        <v/>
      </c>
      <c r="H10" s="19">
        <f>IF(G10="","",IF(G10=C10,"Vendor 1",IF(G10=D10,"Vendor 2",IF(G10=E10,"Vendor 3",IF(G10=F10,"Vendor 4","")))))</f>
        <v/>
      </c>
      <c r="I10" s="20">
        <f>IF(OR(G10="",C10=0),"",C10-G10)</f>
        <v/>
      </c>
    </row>
    <row r="11">
      <c r="A11" s="16" t="inlineStr">
        <is>
          <t>Chicken breast</t>
        </is>
      </c>
      <c r="B11" s="14" t="inlineStr">
        <is>
          <t>lb</t>
        </is>
      </c>
      <c r="C11" s="17" t="n">
        <v>6.5</v>
      </c>
      <c r="D11" s="17" t="n">
        <v>5.99</v>
      </c>
      <c r="E11" s="17" t="n">
        <v>5.49</v>
      </c>
      <c r="F11" s="17" t="n">
        <v>4.99</v>
      </c>
      <c r="G11" s="18">
        <f>IF(COUNTA(C11:F11)=0,"",MIN(IF(C11&gt;0,C11,9999),IF(D11&gt;0,D11,9999),IF(E11&gt;0,E11,9999),IF(F11&gt;0,F11,9999)))</f>
        <v/>
      </c>
      <c r="H11" s="19">
        <f>IF(G11="","",IF(G11=C11,"Vendor 1",IF(G11=D11,"Vendor 2",IF(G11=E11,"Vendor 3",IF(G11=F11,"Vendor 4","")))))</f>
        <v/>
      </c>
      <c r="I11" s="20">
        <f>IF(OR(G11="",C11=0),"",C11-G11)</f>
        <v/>
      </c>
    </row>
    <row r="12">
      <c r="A12" s="16" t="inlineStr">
        <is>
          <t>Ground beef (lean)</t>
        </is>
      </c>
      <c r="B12" s="14" t="inlineStr">
        <is>
          <t>lb</t>
        </is>
      </c>
      <c r="C12" s="17" t="n">
        <v>7.99</v>
      </c>
      <c r="D12" s="17" t="n">
        <v>7.49</v>
      </c>
      <c r="E12" s="17" t="n">
        <v>6.99</v>
      </c>
      <c r="F12" s="17" t="n">
        <v>6.49</v>
      </c>
      <c r="G12" s="18">
        <f>IF(COUNTA(C12:F12)=0,"",MIN(IF(C12&gt;0,C12,9999),IF(D12&gt;0,D12,9999),IF(E12&gt;0,E12,9999),IF(F12&gt;0,F12,9999)))</f>
        <v/>
      </c>
      <c r="H12" s="19">
        <f>IF(G12="","",IF(G12=C12,"Vendor 1",IF(G12=D12,"Vendor 2",IF(G12=E12,"Vendor 3",IF(G12=F12,"Vendor 4","")))))</f>
        <v/>
      </c>
      <c r="I12" s="20">
        <f>IF(OR(G12="",C12=0),"",C12-G12)</f>
        <v/>
      </c>
    </row>
    <row r="13">
      <c r="A13" s="16" t="inlineStr">
        <is>
          <t>Butter (unsalted)</t>
        </is>
      </c>
      <c r="B13" s="14" t="inlineStr">
        <is>
          <t>lb</t>
        </is>
      </c>
      <c r="C13" s="17" t="n">
        <v>6.49</v>
      </c>
      <c r="D13" s="17" t="n">
        <v>5.99</v>
      </c>
      <c r="E13" s="17" t="n">
        <v>5.49</v>
      </c>
      <c r="F13" s="17" t="n">
        <v>5.29</v>
      </c>
      <c r="G13" s="18">
        <f>IF(COUNTA(C13:F13)=0,"",MIN(IF(C13&gt;0,C13,9999),IF(D13&gt;0,D13,9999),IF(E13&gt;0,E13,9999),IF(F13&gt;0,F13,9999)))</f>
        <v/>
      </c>
      <c r="H13" s="19">
        <f>IF(G13="","",IF(G13=C13,"Vendor 1",IF(G13=D13,"Vendor 2",IF(G13=E13,"Vendor 3",IF(G13=F13,"Vendor 4","")))))</f>
        <v/>
      </c>
      <c r="I13" s="20">
        <f>IF(OR(G13="",C13=0),"",C13-G13)</f>
        <v/>
      </c>
    </row>
    <row r="14">
      <c r="A14" s="16" t="inlineStr">
        <is>
          <t>Whole milk</t>
        </is>
      </c>
      <c r="B14" s="14" t="inlineStr">
        <is>
          <t>4L</t>
        </is>
      </c>
      <c r="C14" s="17" t="n">
        <v>6.99</v>
      </c>
      <c r="D14" s="17" t="n">
        <v>6.49</v>
      </c>
      <c r="E14" s="17" t="n">
        <v>5.99</v>
      </c>
      <c r="F14" s="17" t="n">
        <v>5.79</v>
      </c>
      <c r="G14" s="18">
        <f>IF(COUNTA(C14:F14)=0,"",MIN(IF(C14&gt;0,C14,9999),IF(D14&gt;0,D14,9999),IF(E14&gt;0,E14,9999),IF(F14&gt;0,F14,9999)))</f>
        <v/>
      </c>
      <c r="H14" s="19">
        <f>IF(G14="","",IF(G14=C14,"Vendor 1",IF(G14=D14,"Vendor 2",IF(G14=E14,"Vendor 3",IF(G14=F14,"Vendor 4","")))))</f>
        <v/>
      </c>
      <c r="I14" s="20">
        <f>IF(OR(G14="",C14=0),"",C14-G14)</f>
        <v/>
      </c>
    </row>
    <row r="15">
      <c r="A15" s="16" t="inlineStr">
        <is>
          <t>Romaine hearts</t>
        </is>
      </c>
      <c r="B15" s="14" t="inlineStr">
        <is>
          <t>pack</t>
        </is>
      </c>
      <c r="C15" s="17" t="n">
        <v>4.99</v>
      </c>
      <c r="D15" s="17" t="n">
        <v>4.49</v>
      </c>
      <c r="E15" s="17" t="n">
        <v>3.99</v>
      </c>
      <c r="F15" s="17" t="n">
        <v>3.49</v>
      </c>
      <c r="G15" s="18">
        <f>IF(COUNTA(C15:F15)=0,"",MIN(IF(C15&gt;0,C15,9999),IF(D15&gt;0,D15,9999),IF(E15&gt;0,E15,9999),IF(F15&gt;0,F15,9999)))</f>
        <v/>
      </c>
      <c r="H15" s="19">
        <f>IF(G15="","",IF(G15=C15,"Vendor 1",IF(G15=D15,"Vendor 2",IF(G15=E15,"Vendor 3",IF(G15=F15,"Vendor 4","")))))</f>
        <v/>
      </c>
      <c r="I15" s="20">
        <f>IF(OR(G15="",C15=0),"",C15-G15)</f>
        <v/>
      </c>
    </row>
    <row r="16">
      <c r="A16" s="16" t="n"/>
      <c r="B16" s="14" t="n"/>
      <c r="C16" s="17" t="n"/>
      <c r="D16" s="17" t="n"/>
      <c r="E16" s="17" t="n"/>
      <c r="F16" s="17" t="n"/>
      <c r="G16" s="18">
        <f>IF(COUNTA(C16:F16)=0,"",MIN(IF(C16&gt;0,C16,9999),IF(D16&gt;0,D16,9999),IF(E16&gt;0,E16,9999),IF(F16&gt;0,F16,9999)))</f>
        <v/>
      </c>
      <c r="H16" s="19">
        <f>IF(G16="","",IF(G16=C16,"Vendor 1",IF(G16=D16,"Vendor 2",IF(G16=E16,"Vendor 3",IF(G16=F16,"Vendor 4","")))))</f>
        <v/>
      </c>
      <c r="I16" s="20">
        <f>IF(OR(G16="",C16=0),"",C16-G16)</f>
        <v/>
      </c>
    </row>
    <row r="17">
      <c r="A17" s="16" t="n"/>
      <c r="B17" s="14" t="n"/>
      <c r="C17" s="17" t="n"/>
      <c r="D17" s="17" t="n"/>
      <c r="E17" s="17" t="n"/>
      <c r="F17" s="17" t="n"/>
      <c r="G17" s="18">
        <f>IF(COUNTA(C17:F17)=0,"",MIN(IF(C17&gt;0,C17,9999),IF(D17&gt;0,D17,9999),IF(E17&gt;0,E17,9999),IF(F17&gt;0,F17,9999)))</f>
        <v/>
      </c>
      <c r="H17" s="19">
        <f>IF(G17="","",IF(G17=C17,"Vendor 1",IF(G17=D17,"Vendor 2",IF(G17=E17,"Vendor 3",IF(G17=F17,"Vendor 4","")))))</f>
        <v/>
      </c>
      <c r="I17" s="20">
        <f>IF(OR(G17="",C17=0),"",C17-G17)</f>
        <v/>
      </c>
    </row>
    <row r="18">
      <c r="A18" s="16" t="n"/>
      <c r="B18" s="14" t="n"/>
      <c r="C18" s="17" t="n"/>
      <c r="D18" s="17" t="n"/>
      <c r="E18" s="17" t="n"/>
      <c r="F18" s="17" t="n"/>
      <c r="G18" s="18">
        <f>IF(COUNTA(C18:F18)=0,"",MIN(IF(C18&gt;0,C18,9999),IF(D18&gt;0,D18,9999),IF(E18&gt;0,E18,9999),IF(F18&gt;0,F18,9999)))</f>
        <v/>
      </c>
      <c r="H18" s="19">
        <f>IF(G18="","",IF(G18=C18,"Vendor 1",IF(G18=D18,"Vendor 2",IF(G18=E18,"Vendor 3",IF(G18=F18,"Vendor 4","")))))</f>
        <v/>
      </c>
      <c r="I18" s="20">
        <f>IF(OR(G18="",C18=0),"",C18-G18)</f>
        <v/>
      </c>
    </row>
    <row r="19">
      <c r="A19" s="16" t="n"/>
      <c r="B19" s="14" t="n"/>
      <c r="C19" s="17" t="n"/>
      <c r="D19" s="17" t="n"/>
      <c r="E19" s="17" t="n"/>
      <c r="F19" s="17" t="n"/>
      <c r="G19" s="18">
        <f>IF(COUNTA(C19:F19)=0,"",MIN(IF(C19&gt;0,C19,9999),IF(D19&gt;0,D19,9999),IF(E19&gt;0,E19,9999),IF(F19&gt;0,F19,9999)))</f>
        <v/>
      </c>
      <c r="H19" s="19">
        <f>IF(G19="","",IF(G19=C19,"Vendor 1",IF(G19=D19,"Vendor 2",IF(G19=E19,"Vendor 3",IF(G19=F19,"Vendor 4","")))))</f>
        <v/>
      </c>
      <c r="I19" s="20">
        <f>IF(OR(G19="",C19=0),"",C19-G19)</f>
        <v/>
      </c>
    </row>
    <row r="20">
      <c r="A20" s="16" t="n"/>
      <c r="B20" s="14" t="n"/>
      <c r="C20" s="17" t="n"/>
      <c r="D20" s="17" t="n"/>
      <c r="E20" s="17" t="n"/>
      <c r="F20" s="17" t="n"/>
      <c r="G20" s="18">
        <f>IF(COUNTA(C20:F20)=0,"",MIN(IF(C20&gt;0,C20,9999),IF(D20&gt;0,D20,9999),IF(E20&gt;0,E20,9999),IF(F20&gt;0,F20,9999)))</f>
        <v/>
      </c>
      <c r="H20" s="19">
        <f>IF(G20="","",IF(G20=C20,"Vendor 1",IF(G20=D20,"Vendor 2",IF(G20=E20,"Vendor 3",IF(G20=F20,"Vendor 4","")))))</f>
        <v/>
      </c>
      <c r="I20" s="20">
        <f>IF(OR(G20="",C20=0),"",C20-G20)</f>
        <v/>
      </c>
    </row>
    <row r="21">
      <c r="A21" s="16" t="n"/>
      <c r="B21" s="14" t="n"/>
      <c r="C21" s="17" t="n"/>
      <c r="D21" s="17" t="n"/>
      <c r="E21" s="17" t="n"/>
      <c r="F21" s="17" t="n"/>
      <c r="G21" s="18">
        <f>IF(COUNTA(C21:F21)=0,"",MIN(IF(C21&gt;0,C21,9999),IF(D21&gt;0,D21,9999),IF(E21&gt;0,E21,9999),IF(F21&gt;0,F21,9999)))</f>
        <v/>
      </c>
      <c r="H21" s="19">
        <f>IF(G21="","",IF(G21=C21,"Vendor 1",IF(G21=D21,"Vendor 2",IF(G21=E21,"Vendor 3",IF(G21=F21,"Vendor 4","")))))</f>
        <v/>
      </c>
      <c r="I21" s="20">
        <f>IF(OR(G21="",C21=0),"",C21-G21)</f>
        <v/>
      </c>
    </row>
    <row r="22">
      <c r="A22" s="16" t="n"/>
      <c r="B22" s="14" t="n"/>
      <c r="C22" s="17" t="n"/>
      <c r="D22" s="17" t="n"/>
      <c r="E22" s="17" t="n"/>
      <c r="F22" s="17" t="n"/>
      <c r="G22" s="18">
        <f>IF(COUNTA(C22:F22)=0,"",MIN(IF(C22&gt;0,C22,9999),IF(D22&gt;0,D22,9999),IF(E22&gt;0,E22,9999),IF(F22&gt;0,F22,9999)))</f>
        <v/>
      </c>
      <c r="H22" s="19">
        <f>IF(G22="","",IF(G22=C22,"Vendor 1",IF(G22=D22,"Vendor 2",IF(G22=E22,"Vendor 3",IF(G22=F22,"Vendor 4","")))))</f>
        <v/>
      </c>
      <c r="I22" s="20">
        <f>IF(OR(G22="",C22=0),"",C22-G22)</f>
        <v/>
      </c>
    </row>
    <row r="23">
      <c r="A23" s="16" t="n"/>
      <c r="B23" s="14" t="n"/>
      <c r="C23" s="17" t="n"/>
      <c r="D23" s="17" t="n"/>
      <c r="E23" s="17" t="n"/>
      <c r="F23" s="17" t="n"/>
      <c r="G23" s="18">
        <f>IF(COUNTA(C23:F23)=0,"",MIN(IF(C23&gt;0,C23,9999),IF(D23&gt;0,D23,9999),IF(E23&gt;0,E23,9999),IF(F23&gt;0,F23,9999)))</f>
        <v/>
      </c>
      <c r="H23" s="19">
        <f>IF(G23="","",IF(G23=C23,"Vendor 1",IF(G23=D23,"Vendor 2",IF(G23=E23,"Vendor 3",IF(G23=F23,"Vendor 4","")))))</f>
        <v/>
      </c>
      <c r="I23" s="20">
        <f>IF(OR(G23="",C23=0),"",C23-G23)</f>
        <v/>
      </c>
    </row>
    <row r="24">
      <c r="A24" s="16" t="n"/>
      <c r="B24" s="14" t="n"/>
      <c r="C24" s="17" t="n"/>
      <c r="D24" s="17" t="n"/>
      <c r="E24" s="17" t="n"/>
      <c r="F24" s="17" t="n"/>
      <c r="G24" s="18">
        <f>IF(COUNTA(C24:F24)=0,"",MIN(IF(C24&gt;0,C24,9999),IF(D24&gt;0,D24,9999),IF(E24&gt;0,E24,9999),IF(F24&gt;0,F24,9999)))</f>
        <v/>
      </c>
      <c r="H24" s="19">
        <f>IF(G24="","",IF(G24=C24,"Vendor 1",IF(G24=D24,"Vendor 2",IF(G24=E24,"Vendor 3",IF(G24=F24,"Vendor 4","")))))</f>
        <v/>
      </c>
      <c r="I24" s="20">
        <f>IF(OR(G24="",C24=0),"",C24-G24)</f>
        <v/>
      </c>
    </row>
    <row r="25">
      <c r="A25" s="16" t="n"/>
      <c r="B25" s="14" t="n"/>
      <c r="C25" s="17" t="n"/>
      <c r="D25" s="17" t="n"/>
      <c r="E25" s="17" t="n"/>
      <c r="F25" s="17" t="n"/>
      <c r="G25" s="18">
        <f>IF(COUNTA(C25:F25)=0,"",MIN(IF(C25&gt;0,C25,9999),IF(D25&gt;0,D25,9999),IF(E25&gt;0,E25,9999),IF(F25&gt;0,F25,9999)))</f>
        <v/>
      </c>
      <c r="H25" s="19">
        <f>IF(G25="","",IF(G25=C25,"Vendor 1",IF(G25=D25,"Vendor 2",IF(G25=E25,"Vendor 3",IF(G25=F25,"Vendor 4","")))))</f>
        <v/>
      </c>
      <c r="I25" s="20">
        <f>IF(OR(G25="",C25=0),"",C25-G25)</f>
        <v/>
      </c>
    </row>
    <row r="26">
      <c r="A26" s="16" t="n"/>
      <c r="B26" s="14" t="n"/>
      <c r="C26" s="17" t="n"/>
      <c r="D26" s="17" t="n"/>
      <c r="E26" s="17" t="n"/>
      <c r="F26" s="17" t="n"/>
      <c r="G26" s="18">
        <f>IF(COUNTA(C26:F26)=0,"",MIN(IF(C26&gt;0,C26,9999),IF(D26&gt;0,D26,9999),IF(E26&gt;0,E26,9999),IF(F26&gt;0,F26,9999)))</f>
        <v/>
      </c>
      <c r="H26" s="19">
        <f>IF(G26="","",IF(G26=C26,"Vendor 1",IF(G26=D26,"Vendor 2",IF(G26=E26,"Vendor 3",IF(G26=F26,"Vendor 4","")))))</f>
        <v/>
      </c>
      <c r="I26" s="20">
        <f>IF(OR(G26="",C26=0),"",C26-G26)</f>
        <v/>
      </c>
    </row>
    <row r="27">
      <c r="A27" s="16" t="n"/>
      <c r="B27" s="14" t="n"/>
      <c r="C27" s="17" t="n"/>
      <c r="D27" s="17" t="n"/>
      <c r="E27" s="17" t="n"/>
      <c r="F27" s="17" t="n"/>
      <c r="G27" s="18">
        <f>IF(COUNTA(C27:F27)=0,"",MIN(IF(C27&gt;0,C27,9999),IF(D27&gt;0,D27,9999),IF(E27&gt;0,E27,9999),IF(F27&gt;0,F27,9999)))</f>
        <v/>
      </c>
      <c r="H27" s="19">
        <f>IF(G27="","",IF(G27=C27,"Vendor 1",IF(G27=D27,"Vendor 2",IF(G27=E27,"Vendor 3",IF(G27=F27,"Vendor 4","")))))</f>
        <v/>
      </c>
      <c r="I27" s="20">
        <f>IF(OR(G27="",C27=0),"",C27-G27)</f>
        <v/>
      </c>
    </row>
    <row r="28">
      <c r="A28" s="16" t="n"/>
      <c r="B28" s="14" t="n"/>
      <c r="C28" s="17" t="n"/>
      <c r="D28" s="17" t="n"/>
      <c r="E28" s="17" t="n"/>
      <c r="F28" s="17" t="n"/>
      <c r="G28" s="18">
        <f>IF(COUNTA(C28:F28)=0,"",MIN(IF(C28&gt;0,C28,9999),IF(D28&gt;0,D28,9999),IF(E28&gt;0,E28,9999),IF(F28&gt;0,F28,9999)))</f>
        <v/>
      </c>
      <c r="H28" s="19">
        <f>IF(G28="","",IF(G28=C28,"Vendor 1",IF(G28=D28,"Vendor 2",IF(G28=E28,"Vendor 3",IF(G28=F28,"Vendor 4","")))))</f>
        <v/>
      </c>
      <c r="I28" s="20">
        <f>IF(OR(G28="",C28=0),"",C28-G28)</f>
        <v/>
      </c>
    </row>
    <row r="29">
      <c r="A29" s="16" t="n"/>
      <c r="B29" s="14" t="n"/>
      <c r="C29" s="17" t="n"/>
      <c r="D29" s="17" t="n"/>
      <c r="E29" s="17" t="n"/>
      <c r="F29" s="17" t="n"/>
      <c r="G29" s="18">
        <f>IF(COUNTA(C29:F29)=0,"",MIN(IF(C29&gt;0,C29,9999),IF(D29&gt;0,D29,9999),IF(E29&gt;0,E29,9999),IF(F29&gt;0,F29,9999)))</f>
        <v/>
      </c>
      <c r="H29" s="19">
        <f>IF(G29="","",IF(G29=C29,"Vendor 1",IF(G29=D29,"Vendor 2",IF(G29=E29,"Vendor 3",IF(G29=F29,"Vendor 4","")))))</f>
        <v/>
      </c>
      <c r="I29" s="20">
        <f>IF(OR(G29="",C29=0),"",C29-G29)</f>
        <v/>
      </c>
    </row>
    <row r="30">
      <c r="A30" s="16" t="n"/>
      <c r="B30" s="14" t="n"/>
      <c r="C30" s="17" t="n"/>
      <c r="D30" s="17" t="n"/>
      <c r="E30" s="17" t="n"/>
      <c r="F30" s="17" t="n"/>
      <c r="G30" s="18">
        <f>IF(COUNTA(C30:F30)=0,"",MIN(IF(C30&gt;0,C30,9999),IF(D30&gt;0,D30,9999),IF(E30&gt;0,E30,9999),IF(F30&gt;0,F30,9999)))</f>
        <v/>
      </c>
      <c r="H30" s="19">
        <f>IF(G30="","",IF(G30=C30,"Vendor 1",IF(G30=D30,"Vendor 2",IF(G30=E30,"Vendor 3",IF(G30=F30,"Vendor 4","")))))</f>
        <v/>
      </c>
      <c r="I30" s="20">
        <f>IF(OR(G30="",C30=0),"",C30-G30)</f>
        <v/>
      </c>
    </row>
    <row r="31">
      <c r="A31" s="16" t="n"/>
      <c r="B31" s="14" t="n"/>
      <c r="C31" s="17" t="n"/>
      <c r="D31" s="17" t="n"/>
      <c r="E31" s="17" t="n"/>
      <c r="F31" s="17" t="n"/>
      <c r="G31" s="18">
        <f>IF(COUNTA(C31:F31)=0,"",MIN(IF(C31&gt;0,C31,9999),IF(D31&gt;0,D31,9999),IF(E31&gt;0,E31,9999),IF(F31&gt;0,F31,9999)))</f>
        <v/>
      </c>
      <c r="H31" s="19">
        <f>IF(G31="","",IF(G31=C31,"Vendor 1",IF(G31=D31,"Vendor 2",IF(G31=E31,"Vendor 3",IF(G31=F31,"Vendor 4","")))))</f>
        <v/>
      </c>
      <c r="I31" s="20">
        <f>IF(OR(G31="",C31=0),"",C31-G31)</f>
        <v/>
      </c>
    </row>
    <row r="32">
      <c r="A32" s="16" t="n"/>
      <c r="B32" s="14" t="n"/>
      <c r="C32" s="17" t="n"/>
      <c r="D32" s="17" t="n"/>
      <c r="E32" s="17" t="n"/>
      <c r="F32" s="17" t="n"/>
      <c r="G32" s="18">
        <f>IF(COUNTA(C32:F32)=0,"",MIN(IF(C32&gt;0,C32,9999),IF(D32&gt;0,D32,9999),IF(E32&gt;0,E32,9999),IF(F32&gt;0,F32,9999)))</f>
        <v/>
      </c>
      <c r="H32" s="19">
        <f>IF(G32="","",IF(G32=C32,"Vendor 1",IF(G32=D32,"Vendor 2",IF(G32=E32,"Vendor 3",IF(G32=F32,"Vendor 4","")))))</f>
        <v/>
      </c>
      <c r="I32" s="20">
        <f>IF(OR(G32="",C32=0),"",C32-G32)</f>
        <v/>
      </c>
    </row>
    <row r="33">
      <c r="A33" s="16" t="n"/>
      <c r="B33" s="14" t="n"/>
      <c r="C33" s="17" t="n"/>
      <c r="D33" s="17" t="n"/>
      <c r="E33" s="17" t="n"/>
      <c r="F33" s="17" t="n"/>
      <c r="G33" s="18">
        <f>IF(COUNTA(C33:F33)=0,"",MIN(IF(C33&gt;0,C33,9999),IF(D33&gt;0,D33,9999),IF(E33&gt;0,E33,9999),IF(F33&gt;0,F33,9999)))</f>
        <v/>
      </c>
      <c r="H33" s="19">
        <f>IF(G33="","",IF(G33=C33,"Vendor 1",IF(G33=D33,"Vendor 2",IF(G33=E33,"Vendor 3",IF(G33=F33,"Vendor 4","")))))</f>
        <v/>
      </c>
      <c r="I33" s="20">
        <f>IF(OR(G33="",C33=0),"",C33-G33)</f>
        <v/>
      </c>
    </row>
    <row r="34">
      <c r="A34" s="16" t="n"/>
      <c r="B34" s="14" t="n"/>
      <c r="C34" s="17" t="n"/>
      <c r="D34" s="17" t="n"/>
      <c r="E34" s="17" t="n"/>
      <c r="F34" s="17" t="n"/>
      <c r="G34" s="18">
        <f>IF(COUNTA(C34:F34)=0,"",MIN(IF(C34&gt;0,C34,9999),IF(D34&gt;0,D34,9999),IF(E34&gt;0,E34,9999),IF(F34&gt;0,F34,9999)))</f>
        <v/>
      </c>
      <c r="H34" s="19">
        <f>IF(G34="","",IF(G34=C34,"Vendor 1",IF(G34=D34,"Vendor 2",IF(G34=E34,"Vendor 3",IF(G34=F34,"Vendor 4","")))))</f>
        <v/>
      </c>
      <c r="I34" s="20">
        <f>IF(OR(G34="",C34=0),"",C34-G34)</f>
        <v/>
      </c>
    </row>
    <row r="35">
      <c r="A35" s="16" t="n"/>
      <c r="B35" s="14" t="n"/>
      <c r="C35" s="17" t="n"/>
      <c r="D35" s="17" t="n"/>
      <c r="E35" s="17" t="n"/>
      <c r="F35" s="17" t="n"/>
      <c r="G35" s="18">
        <f>IF(COUNTA(C35:F35)=0,"",MIN(IF(C35&gt;0,C35,9999),IF(D35&gt;0,D35,9999),IF(E35&gt;0,E35,9999),IF(F35&gt;0,F35,9999)))</f>
        <v/>
      </c>
      <c r="H35" s="19">
        <f>IF(G35="","",IF(G35=C35,"Vendor 1",IF(G35=D35,"Vendor 2",IF(G35=E35,"Vendor 3",IF(G35=F35,"Vendor 4","")))))</f>
        <v/>
      </c>
      <c r="I35" s="20">
        <f>IF(OR(G35="",C35=0),"",C35-G35)</f>
        <v/>
      </c>
    </row>
    <row r="36">
      <c r="A36" s="16" t="n"/>
      <c r="B36" s="14" t="n"/>
      <c r="C36" s="17" t="n"/>
      <c r="D36" s="17" t="n"/>
      <c r="E36" s="17" t="n"/>
      <c r="F36" s="17" t="n"/>
      <c r="G36" s="18">
        <f>IF(COUNTA(C36:F36)=0,"",MIN(IF(C36&gt;0,C36,9999),IF(D36&gt;0,D36,9999),IF(E36&gt;0,E36,9999),IF(F36&gt;0,F36,9999)))</f>
        <v/>
      </c>
      <c r="H36" s="19">
        <f>IF(G36="","",IF(G36=C36,"Vendor 1",IF(G36=D36,"Vendor 2",IF(G36=E36,"Vendor 3",IF(G36=F36,"Vendor 4","")))))</f>
        <v/>
      </c>
      <c r="I36" s="20">
        <f>IF(OR(G36="",C36=0),"",C36-G36)</f>
        <v/>
      </c>
    </row>
    <row r="37">
      <c r="A37" s="16" t="n"/>
      <c r="B37" s="14" t="n"/>
      <c r="C37" s="17" t="n"/>
      <c r="D37" s="17" t="n"/>
      <c r="E37" s="17" t="n"/>
      <c r="F37" s="17" t="n"/>
      <c r="G37" s="18">
        <f>IF(COUNTA(C37:F37)=0,"",MIN(IF(C37&gt;0,C37,9999),IF(D37&gt;0,D37,9999),IF(E37&gt;0,E37,9999),IF(F37&gt;0,F37,9999)))</f>
        <v/>
      </c>
      <c r="H37" s="19">
        <f>IF(G37="","",IF(G37=C37,"Vendor 1",IF(G37=D37,"Vendor 2",IF(G37=E37,"Vendor 3",IF(G37=F37,"Vendor 4","")))))</f>
        <v/>
      </c>
      <c r="I37" s="20">
        <f>IF(OR(G37="",C37=0),"",C37-G37)</f>
        <v/>
      </c>
    </row>
    <row r="39">
      <c r="A39" s="21" t="inlineStr">
        <is>
          <t>SAVINGS SUMMARY</t>
        </is>
      </c>
      <c r="B39" s="22" t="n"/>
      <c r="C39" s="22" t="n"/>
      <c r="D39" s="22" t="n"/>
    </row>
    <row r="40">
      <c r="A40" s="13" t="inlineStr">
        <is>
          <t>Total Savings per Order Cycle</t>
        </is>
      </c>
      <c r="B40" s="23">
        <f>SUM(I8:I37)</f>
        <v/>
      </c>
    </row>
    <row r="41">
      <c r="A41" s="13" t="inlineStr">
        <is>
          <t>Items Where You're Overpaying</t>
        </is>
      </c>
      <c r="B41" s="24">
        <f>COUNTIF(I8:I37,"&gt;0")</f>
        <v/>
      </c>
    </row>
    <row r="42">
      <c r="A42" s="13" t="inlineStr">
        <is>
          <t>Estimated Monthly Savings (4 orders)</t>
        </is>
      </c>
      <c r="B42" s="23">
        <f>SUM(I8:I37)*4</f>
        <v/>
      </c>
    </row>
    <row r="43">
      <c r="A43" s="13" t="inlineStr">
        <is>
          <t>Estimated Annual Savings</t>
        </is>
      </c>
      <c r="B43" s="23">
        <f>SUM(I8:I37)*52</f>
        <v/>
      </c>
    </row>
    <row r="45">
      <c r="A45" s="25" t="inlineStr">
        <is>
          <t>Built by The Grumpy Chef — thegrumpychef.ca</t>
        </is>
      </c>
    </row>
  </sheetData>
  <mergeCells count="4">
    <mergeCell ref="A1:I1"/>
    <mergeCell ref="A45:I45"/>
    <mergeCell ref="A2:I2"/>
    <mergeCell ref="A39:D39"/>
  </mergeCells>
  <conditionalFormatting sqref="I8">
    <cfRule type="cellIs" priority="1" operator="greaterThan" dxfId="0">
      <formula>0</formula>
    </cfRule>
  </conditionalFormatting>
  <conditionalFormatting sqref="I9">
    <cfRule type="cellIs" priority="2" operator="greaterThan" dxfId="0">
      <formula>0</formula>
    </cfRule>
  </conditionalFormatting>
  <conditionalFormatting sqref="I10">
    <cfRule type="cellIs" priority="3" operator="greaterThan" dxfId="0">
      <formula>0</formula>
    </cfRule>
  </conditionalFormatting>
  <conditionalFormatting sqref="I11">
    <cfRule type="cellIs" priority="4" operator="greaterThan" dxfId="0">
      <formula>0</formula>
    </cfRule>
  </conditionalFormatting>
  <conditionalFormatting sqref="I12">
    <cfRule type="cellIs" priority="5" operator="greaterThan" dxfId="0">
      <formula>0</formula>
    </cfRule>
  </conditionalFormatting>
  <conditionalFormatting sqref="I13">
    <cfRule type="cellIs" priority="6" operator="greaterThan" dxfId="0">
      <formula>0</formula>
    </cfRule>
  </conditionalFormatting>
  <conditionalFormatting sqref="I14">
    <cfRule type="cellIs" priority="7" operator="greaterThan" dxfId="0">
      <formula>0</formula>
    </cfRule>
  </conditionalFormatting>
  <conditionalFormatting sqref="I15">
    <cfRule type="cellIs" priority="8" operator="greaterThan" dxfId="0">
      <formula>0</formula>
    </cfRule>
  </conditionalFormatting>
  <conditionalFormatting sqref="I16">
    <cfRule type="cellIs" priority="9" operator="greaterThan" dxfId="0">
      <formula>0</formula>
    </cfRule>
  </conditionalFormatting>
  <conditionalFormatting sqref="I17">
    <cfRule type="cellIs" priority="10" operator="greaterThan" dxfId="0">
      <formula>0</formula>
    </cfRule>
  </conditionalFormatting>
  <conditionalFormatting sqref="I18">
    <cfRule type="cellIs" priority="11" operator="greaterThan" dxfId="0">
      <formula>0</formula>
    </cfRule>
  </conditionalFormatting>
  <conditionalFormatting sqref="I19">
    <cfRule type="cellIs" priority="12" operator="greaterThan" dxfId="0">
      <formula>0</formula>
    </cfRule>
  </conditionalFormatting>
  <conditionalFormatting sqref="I20">
    <cfRule type="cellIs" priority="13" operator="greaterThan" dxfId="0">
      <formula>0</formula>
    </cfRule>
  </conditionalFormatting>
  <conditionalFormatting sqref="I21">
    <cfRule type="cellIs" priority="14" operator="greaterThan" dxfId="0">
      <formula>0</formula>
    </cfRule>
  </conditionalFormatting>
  <conditionalFormatting sqref="I22">
    <cfRule type="cellIs" priority="15" operator="greaterThan" dxfId="0">
      <formula>0</formula>
    </cfRule>
  </conditionalFormatting>
  <conditionalFormatting sqref="I23">
    <cfRule type="cellIs" priority="16" operator="greaterThan" dxfId="0">
      <formula>0</formula>
    </cfRule>
  </conditionalFormatting>
  <conditionalFormatting sqref="I24">
    <cfRule type="cellIs" priority="17" operator="greaterThan" dxfId="0">
      <formula>0</formula>
    </cfRule>
  </conditionalFormatting>
  <conditionalFormatting sqref="I25">
    <cfRule type="cellIs" priority="18" operator="greaterThan" dxfId="0">
      <formula>0</formula>
    </cfRule>
  </conditionalFormatting>
  <conditionalFormatting sqref="I26">
    <cfRule type="cellIs" priority="19" operator="greaterThan" dxfId="0">
      <formula>0</formula>
    </cfRule>
  </conditionalFormatting>
  <conditionalFormatting sqref="I27">
    <cfRule type="cellIs" priority="20" operator="greaterThan" dxfId="0">
      <formula>0</formula>
    </cfRule>
  </conditionalFormatting>
  <conditionalFormatting sqref="I28">
    <cfRule type="cellIs" priority="21" operator="greaterThan" dxfId="0">
      <formula>0</formula>
    </cfRule>
  </conditionalFormatting>
  <conditionalFormatting sqref="I29">
    <cfRule type="cellIs" priority="22" operator="greaterThan" dxfId="0">
      <formula>0</formula>
    </cfRule>
  </conditionalFormatting>
  <conditionalFormatting sqref="I30">
    <cfRule type="cellIs" priority="23" operator="greaterThan" dxfId="0">
      <formula>0</formula>
    </cfRule>
  </conditionalFormatting>
  <conditionalFormatting sqref="I31">
    <cfRule type="cellIs" priority="24" operator="greaterThan" dxfId="0">
      <formula>0</formula>
    </cfRule>
  </conditionalFormatting>
  <conditionalFormatting sqref="I32">
    <cfRule type="cellIs" priority="25" operator="greaterThan" dxfId="0">
      <formula>0</formula>
    </cfRule>
  </conditionalFormatting>
  <conditionalFormatting sqref="I33">
    <cfRule type="cellIs" priority="26" operator="greaterThan" dxfId="0">
      <formula>0</formula>
    </cfRule>
  </conditionalFormatting>
  <conditionalFormatting sqref="I34">
    <cfRule type="cellIs" priority="27" operator="greaterThan" dxfId="0">
      <formula>0</formula>
    </cfRule>
  </conditionalFormatting>
  <conditionalFormatting sqref="I35">
    <cfRule type="cellIs" priority="28" operator="greaterThan" dxfId="0">
      <formula>0</formula>
    </cfRule>
  </conditionalFormatting>
  <conditionalFormatting sqref="I36">
    <cfRule type="cellIs" priority="29" operator="greaterThan" dxfId="0">
      <formula>0</formula>
    </cfRule>
  </conditionalFormatting>
  <conditionalFormatting sqref="I37">
    <cfRule type="cellIs" priority="30" operator="greaterThan" dxfId="0">
      <formula>0</formula>
    </cfRule>
  </conditionalFormatting>
  <pageMargins left="0.75" right="0.75" top="1" bottom="1" header="0.5" footer="0.5"/>
  <pageSetup orientation="landscape" fitToHeight="0" fitToWidth="1"/>
  <headerFooter>
    <oddHeader/>
    <oddFooter>&amp;CBuilt by The Grumpy Chef — thegrumpychef.ca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2026-02-25T19:27:24Z</dcterms:created>
  <dcterms:modified xsi:type="dcterms:W3CDTF">2026-02-25T19:27:24Z</dcterms:modified>
</cp:coreProperties>
</file>