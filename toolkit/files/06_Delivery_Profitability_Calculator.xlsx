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elivery Profitability" sheetId="2" state="visible" r:id="rId2"/>
  </sheets>
  <definedNames>
    <definedName name="_xlnm.Print_Area" localSheetId="1">'Delivery Profitability'!$A$1:$F$28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M YYYY"/>
    <numFmt numFmtId="165" formatCode="$#,##0"/>
    <numFmt numFmtId="166" formatCode="0.0%"/>
    <numFmt numFmtId="167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D4A843"/>
      <sz val="12"/>
    </font>
    <font>
      <name val="Calibri"/>
      <color rgb="002D2D2D"/>
      <sz val="11"/>
    </font>
    <font>
      <name val="Calibri"/>
      <b val="1"/>
      <color rgb="002D2D2D"/>
      <sz val="11"/>
    </font>
    <font>
      <name val="Calibri"/>
      <i val="1"/>
      <color rgb="00888888"/>
      <sz val="9"/>
    </font>
    <font>
      <name val="Calibri"/>
      <color rgb="001A1A1A"/>
      <sz val="11"/>
    </font>
    <font>
      <name val="Calibri"/>
      <b val="1"/>
      <color rgb="00FFFFFF"/>
      <sz val="11"/>
    </font>
    <font>
      <name val="Calibri"/>
      <b val="1"/>
      <color rgb="002D2D2D"/>
      <sz val="16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9E6"/>
        <bgColor rgb="00FFF9E6"/>
      </patternFill>
    </fill>
    <fill>
      <patternFill patternType="solid">
        <fgColor rgb="00F2F2F2"/>
        <bgColor rgb="00F2F2F2"/>
      </patternFill>
    </fill>
    <fill>
      <patternFill patternType="solid">
        <fgColor rgb="00D4A843"/>
        <bgColor rgb="00D4A84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7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8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7" fontId="4" fillId="4" borderId="1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5" borderId="0" pivotButton="0" quotePrefix="0" xfId="0"/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EAFAF1"/>
          <bgColor rgb="00EAFAF1"/>
        </patternFill>
      </fill>
    </dxf>
    <dxf>
      <fill>
        <patternFill patternType="solid">
          <fgColor rgb="00FDEDEC"/>
          <bgColor rgb="00FDEDEC"/>
        </patternFill>
      </fill>
    </dxf>
    <dxf>
      <fill>
        <patternFill patternType="solid">
          <fgColor rgb="00FEF9E7"/>
          <b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843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>
      <c r="A1" s="1" t="inlineStr">
        <is>
          <t>Delivery Profitability Calculator</t>
        </is>
      </c>
      <c r="B1" s="2" t="n"/>
    </row>
    <row r="2">
      <c r="A2" s="3" t="inlineStr">
        <is>
          <t>The Grumpy Chef Template Bundle</t>
        </is>
      </c>
      <c r="B2" s="2" t="n"/>
    </row>
    <row r="4">
      <c r="A4" s="4" t="inlineStr"/>
      <c r="B4" s="5" t="inlineStr">
        <is>
          <t>Yellow cells = YOUR INPUT (type here)</t>
        </is>
      </c>
    </row>
    <row r="5">
      <c r="A5" s="6" t="inlineStr"/>
      <c r="B5" s="5" t="inlineStr">
        <is>
          <t>Gray cells = AUTO-CALCULATED (don't touch)</t>
        </is>
      </c>
    </row>
    <row r="7">
      <c r="A7" t="inlineStr"/>
      <c r="B7" s="7" t="inlineStr">
        <is>
          <t>What This Template Does</t>
        </is>
      </c>
    </row>
    <row r="8">
      <c r="B8" s="8" t="inlineStr">
        <is>
          <t>Shows you the TRUE profitability of each delivery platform and each delivery menu item.</t>
        </is>
      </c>
    </row>
    <row r="9">
      <c r="B9" s="8" t="inlineStr">
        <is>
          <t>Most operators see the deposit from Uber Eats and think they're making money.</t>
        </is>
      </c>
    </row>
    <row r="10">
      <c r="B10" s="8" t="inlineStr">
        <is>
          <t>This calculator shows what's left after commission, food cost, packaging, and labor.</t>
        </is>
      </c>
    </row>
    <row r="11">
      <c r="B11" s="8" t="inlineStr">
        <is>
          <t>One operator discovered they were PAYING $500/month to give away food through delivery.</t>
        </is>
      </c>
    </row>
    <row r="13">
      <c r="A13" t="inlineStr"/>
      <c r="B13" s="7" t="inlineStr">
        <is>
          <t>How To Use It</t>
        </is>
      </c>
    </row>
    <row r="14">
      <c r="B14" s="8" t="inlineStr">
        <is>
          <t>1. Enter your data for each delivery platform: gross orders, commission rate, food cost</t>
        </is>
      </c>
    </row>
    <row r="15">
      <c r="B15" s="8" t="inlineStr">
        <is>
          <t>2. Add packaging cost per order and any incremental labor</t>
        </is>
      </c>
    </row>
    <row r="16">
      <c r="B16" s="8" t="inlineStr">
        <is>
          <t>3. The template shows true profit/loss per platform</t>
        </is>
      </c>
    </row>
    <row r="17">
      <c r="B17" s="8" t="inlineStr">
        <is>
          <t>4. Use the Item Analysis tab to check which delivery items are profitable</t>
        </is>
      </c>
    </row>
    <row r="18">
      <c r="B18" s="8" t="inlineStr">
        <is>
          <t>5. If a platform shows negative profit, consider raising delivery prices or dropping it</t>
        </is>
      </c>
    </row>
    <row r="20">
      <c r="A20" t="inlineStr"/>
      <c r="B20" s="7" t="inlineStr">
        <is>
          <t>Key Insight</t>
        </is>
      </c>
    </row>
    <row r="21">
      <c r="B21" s="8" t="inlineStr">
        <is>
          <t>Third-party delivery should be your customer ACQUISITION channel, not your revenue channel.</t>
        </is>
      </c>
    </row>
    <row r="22">
      <c r="B22" s="8" t="inlineStr">
        <is>
          <t>Use it to get discovered. Then convert customers to direct ordering.</t>
        </is>
      </c>
    </row>
    <row r="23">
      <c r="B23" s="8" t="inlineStr">
        <is>
          <t>Every delivery bag should include a card: 'Order direct next time — 10% off.'</t>
        </is>
      </c>
    </row>
    <row r="26">
      <c r="A26" s="9" t="inlineStr">
        <is>
          <t>Built by The Grumpy Chef — thegrumpychef.ca</t>
        </is>
      </c>
    </row>
  </sheetData>
  <mergeCells count="3">
    <mergeCell ref="A26:B26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0" t="inlineStr">
        <is>
          <t>Delivery Profitability Calculator</t>
        </is>
      </c>
      <c r="B1" s="2" t="n"/>
      <c r="C1" s="2" t="n"/>
      <c r="D1" s="2" t="n"/>
      <c r="E1" s="2" t="n"/>
      <c r="F1" s="2" t="n"/>
    </row>
    <row r="2">
      <c r="A2" s="11" t="inlineStr">
        <is>
          <t>Are you making money on delivery — or paying to give away food?</t>
        </is>
      </c>
      <c r="B2" s="2" t="n"/>
      <c r="C2" s="2" t="n"/>
      <c r="D2" s="2" t="n"/>
      <c r="E2" s="2" t="n"/>
      <c r="F2" s="2" t="n"/>
    </row>
    <row r="4">
      <c r="A4" s="12" t="inlineStr">
        <is>
          <t>Analysis Period:</t>
        </is>
      </c>
      <c r="B4" s="13" t="inlineStr">
        <is>
          <t>Month:</t>
        </is>
      </c>
      <c r="C4" s="14" t="n"/>
    </row>
    <row r="6">
      <c r="A6" s="15" t="inlineStr"/>
      <c r="B6" s="15" t="inlineStr">
        <is>
          <t>Uber Eats</t>
        </is>
      </c>
      <c r="C6" s="15" t="inlineStr">
        <is>
          <t>DoorDash</t>
        </is>
      </c>
      <c r="D6" s="15" t="inlineStr">
        <is>
          <t>Skip/Grubhub</t>
        </is>
      </c>
      <c r="E6" s="15" t="inlineStr">
        <is>
          <t>Direct Orders</t>
        </is>
      </c>
    </row>
    <row r="7">
      <c r="A7" s="12" t="inlineStr">
        <is>
          <t>Gross Order Revenue ($)</t>
        </is>
      </c>
      <c r="B7" s="16" t="n"/>
      <c r="C7" s="16" t="n"/>
      <c r="D7" s="16" t="n"/>
      <c r="E7" s="16" t="n"/>
    </row>
    <row r="8">
      <c r="A8" s="12" t="inlineStr">
        <is>
          <t>Number of Orders</t>
        </is>
      </c>
      <c r="B8" s="17" t="n"/>
      <c r="C8" s="17" t="n"/>
      <c r="D8" s="17" t="n"/>
      <c r="E8" s="17" t="n"/>
    </row>
    <row r="9">
      <c r="A9" s="12" t="inlineStr">
        <is>
          <t>Commission Rate (%)</t>
        </is>
      </c>
      <c r="B9" s="18" t="n"/>
      <c r="C9" s="18" t="n"/>
      <c r="D9" s="18" t="n"/>
      <c r="E9" s="18" t="n"/>
    </row>
    <row r="10">
      <c r="A10" s="12" t="inlineStr">
        <is>
          <t>Commission Paid ($)</t>
        </is>
      </c>
      <c r="B10" s="19">
        <f>B7*B9</f>
        <v/>
      </c>
      <c r="C10" s="19">
        <f>C7*C9</f>
        <v/>
      </c>
      <c r="D10" s="19">
        <f>D7*D9</f>
        <v/>
      </c>
      <c r="E10" s="19">
        <f>E7*E9</f>
        <v/>
      </c>
    </row>
    <row r="11">
      <c r="A11" s="12" t="inlineStr">
        <is>
          <t>Avg Food Cost per Order ($)</t>
        </is>
      </c>
      <c r="B11" s="20" t="n"/>
      <c r="C11" s="20" t="n"/>
      <c r="D11" s="20" t="n"/>
      <c r="E11" s="20" t="n"/>
    </row>
    <row r="12">
      <c r="A12" s="12" t="inlineStr">
        <is>
          <t>Total Food Cost ($)</t>
        </is>
      </c>
      <c r="B12" s="19">
        <f>B11*B8</f>
        <v/>
      </c>
      <c r="C12" s="19">
        <f>C11*C8</f>
        <v/>
      </c>
      <c r="D12" s="19">
        <f>D11*D8</f>
        <v/>
      </c>
      <c r="E12" s="19">
        <f>E11*E8</f>
        <v/>
      </c>
    </row>
    <row r="13">
      <c r="A13" s="12" t="inlineStr">
        <is>
          <t>Packaging Cost per Order ($)</t>
        </is>
      </c>
      <c r="B13" s="20" t="n"/>
      <c r="C13" s="20" t="n"/>
      <c r="D13" s="20" t="n"/>
      <c r="E13" s="20" t="n"/>
    </row>
    <row r="14">
      <c r="A14" s="12" t="inlineStr">
        <is>
          <t>Total Packaging Cost ($)</t>
        </is>
      </c>
      <c r="B14" s="19">
        <f>B13*B8</f>
        <v/>
      </c>
      <c r="C14" s="19">
        <f>C13*C8</f>
        <v/>
      </c>
      <c r="D14" s="19">
        <f>D13*D8</f>
        <v/>
      </c>
      <c r="E14" s="19">
        <f>E13*E8</f>
        <v/>
      </c>
    </row>
    <row r="15">
      <c r="A15" s="12" t="inlineStr">
        <is>
          <t>Incremental Labor ($)</t>
        </is>
      </c>
      <c r="B15" s="16" t="n"/>
      <c r="C15" s="16" t="n"/>
      <c r="D15" s="16" t="n"/>
      <c r="E15" s="16" t="n"/>
    </row>
    <row r="16">
      <c r="A16" s="21" t="inlineStr">
        <is>
          <t>TOTAL COSTS ($)</t>
        </is>
      </c>
      <c r="B16" s="19">
        <f>B10+B12+B14+B15</f>
        <v/>
      </c>
      <c r="C16" s="19">
        <f>C10+C12+C14+C15</f>
        <v/>
      </c>
      <c r="D16" s="19">
        <f>D10+D12+D14+D15</f>
        <v/>
      </c>
      <c r="E16" s="19">
        <f>E10+E12+E14+E15</f>
        <v/>
      </c>
    </row>
    <row r="18">
      <c r="A18" s="21" t="inlineStr">
        <is>
          <t>NET PROFIT / (LOSS) ($)</t>
        </is>
      </c>
      <c r="B18" s="22">
        <f>B7-B16</f>
        <v/>
      </c>
      <c r="C18" s="22">
        <f>C7-C16</f>
        <v/>
      </c>
      <c r="D18" s="22">
        <f>D7-D16</f>
        <v/>
      </c>
      <c r="E18" s="22">
        <f>E7-E16</f>
        <v/>
      </c>
    </row>
    <row r="19">
      <c r="A19" s="12" t="inlineStr">
        <is>
          <t>Profit Margin (%)</t>
        </is>
      </c>
      <c r="B19" s="23">
        <f>IF(B7=0,"",B18/B7)</f>
        <v/>
      </c>
      <c r="C19" s="23">
        <f>IF(C7=0,"",C18/C7)</f>
        <v/>
      </c>
      <c r="D19" s="23">
        <f>IF(D7=0,"",D18/D7)</f>
        <v/>
      </c>
      <c r="E19" s="23">
        <f>IF(E7=0,"",E18/E7)</f>
        <v/>
      </c>
    </row>
    <row r="20">
      <c r="A20" s="12" t="inlineStr">
        <is>
          <t>Profit Per Order ($)</t>
        </is>
      </c>
      <c r="B20" s="24">
        <f>IF(B8=0,"",B18/B8)</f>
        <v/>
      </c>
      <c r="C20" s="24">
        <f>IF(C8=0,"",C18/C8)</f>
        <v/>
      </c>
      <c r="D20" s="24">
        <f>IF(D8=0,"",D18/D8)</f>
        <v/>
      </c>
      <c r="E20" s="24">
        <f>IF(E8=0,"",E18/E8)</f>
        <v/>
      </c>
    </row>
    <row r="23">
      <c r="A23" s="25" t="inlineStr">
        <is>
          <t>COMBINED MONTHLY SUMMARY</t>
        </is>
      </c>
      <c r="B23" s="26" t="n"/>
      <c r="C23" s="26" t="n"/>
    </row>
    <row r="24">
      <c r="A24" s="12" t="inlineStr">
        <is>
          <t>Total Delivery Revenue</t>
        </is>
      </c>
      <c r="B24" s="19">
        <f>SUM(B7:E7)</f>
        <v/>
      </c>
    </row>
    <row r="25">
      <c r="A25" s="12" t="inlineStr">
        <is>
          <t>Total Commission Paid</t>
        </is>
      </c>
      <c r="B25" s="19">
        <f>SUM(B10:E10)</f>
        <v/>
      </c>
    </row>
    <row r="26">
      <c r="A26" s="12" t="inlineStr">
        <is>
          <t>Total Net Profit / (Loss)</t>
        </is>
      </c>
      <c r="B26" s="22">
        <f>SUM(B18:E18)</f>
        <v/>
      </c>
    </row>
    <row r="28">
      <c r="A28" s="27" t="inlineStr">
        <is>
          <t>Built by The Grumpy Chef — thegrumpychef.ca</t>
        </is>
      </c>
    </row>
  </sheetData>
  <mergeCells count="4">
    <mergeCell ref="A2:F2"/>
    <mergeCell ref="A1:F1"/>
    <mergeCell ref="A28:F28"/>
    <mergeCell ref="A23:C23"/>
  </mergeCells>
  <conditionalFormatting sqref="B18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conditionalFormatting sqref="C18">
    <cfRule type="cellIs" priority="4" operator="greaterThan" dxfId="0">
      <formula>0</formula>
    </cfRule>
    <cfRule type="cellIs" priority="5" operator="lessThan" dxfId="1">
      <formula>0</formula>
    </cfRule>
    <cfRule type="cellIs" priority="6" operator="equal" dxfId="2">
      <formula>0</formula>
    </cfRule>
  </conditionalFormatting>
  <conditionalFormatting sqref="D18">
    <cfRule type="cellIs" priority="7" operator="greaterThan" dxfId="0">
      <formula>0</formula>
    </cfRule>
    <cfRule type="cellIs" priority="8" operator="lessThan" dxfId="1">
      <formula>0</formula>
    </cfRule>
    <cfRule type="cellIs" priority="9" operator="equal" dxfId="2">
      <formula>0</formula>
    </cfRule>
  </conditionalFormatting>
  <conditionalFormatting sqref="E18">
    <cfRule type="cellIs" priority="10" operator="greaterThan" dxfId="0">
      <formula>0</formula>
    </cfRule>
    <cfRule type="cellIs" priority="11" operator="lessThan" dxfId="1">
      <formula>0</formula>
    </cfRule>
    <cfRule type="cellIs" priority="12" operator="equal" dxfId="2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&amp;CBuilt by The Grumpy Chef — thegrumpychef.ca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2026-02-25T19:27:24Z</dcterms:created>
  <dcterms:modified xsi:type="dcterms:W3CDTF">2026-02-25T19:27:24Z</dcterms:modified>
</cp:coreProperties>
</file>