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enu Matrix" sheetId="2" state="visible" r:id="rId2"/>
  </sheets>
  <definedNames>
    <definedName name="_xlnm.Print_Area" localSheetId="1">'Menu Matrix'!$A$1:$I$44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color rgb="001A1A1A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D4A843"/>
        <bgColor rgb="00D4A843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0" pivotButton="0" quotePrefix="0" xfId="0"/>
    <xf numFmtId="0" fontId="0" fillId="5" borderId="0" pivotButton="0" quotePrefix="0" xfId="0"/>
    <xf numFmtId="0" fontId="4" fillId="0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EAFAF1"/>
          <bgColor rgb="00EAFAF1"/>
        </patternFill>
      </fill>
    </dxf>
    <dxf>
      <fill>
        <patternFill patternType="solid">
          <fgColor rgb="00FEF9E7"/>
          <bgColor rgb="00FEF9E7"/>
        </patternFill>
      </fill>
    </dxf>
    <dxf>
      <fill>
        <patternFill patternType="solid">
          <fgColor rgb="00FDEDEC"/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Menu Engineering Matrix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Classifies every menu item into one of four quadrants:</t>
        </is>
      </c>
    </row>
    <row r="9">
      <c r="B9" s="8" t="inlineStr">
        <is>
          <t>STARS = High profit, high popularity. Protect and promote.</t>
        </is>
      </c>
    </row>
    <row r="10">
      <c r="B10" s="8" t="inlineStr">
        <is>
          <t>PLOWHORSES = Low profit, high popularity. Reduce cost or raise price.</t>
        </is>
      </c>
    </row>
    <row r="11">
      <c r="B11" s="8" t="inlineStr">
        <is>
          <t>PUZZLES = High profit, low popularity. Reposition, rename, or promote.</t>
        </is>
      </c>
    </row>
    <row r="12">
      <c r="B12" s="8" t="inlineStr">
        <is>
          <t>DOGS = Low profit, low popularity. Remove or completely rework.</t>
        </is>
      </c>
    </row>
    <row r="14">
      <c r="A14" t="inlineStr"/>
      <c r="B14" s="7" t="inlineStr">
        <is>
          <t>How To Use It</t>
        </is>
      </c>
    </row>
    <row r="15">
      <c r="B15" s="8" t="inlineStr">
        <is>
          <t>1. Enter each menu item with its category, units sold (last 90 days), food cost per serving, and menu price</t>
        </is>
      </c>
    </row>
    <row r="16">
      <c r="B16" s="8" t="inlineStr">
        <is>
          <t>2. The template auto-calculates contribution margin, food cost %, and classifies each item</t>
        </is>
      </c>
    </row>
    <row r="17">
      <c r="B17" s="8" t="inlineStr">
        <is>
          <t>3. Review the Dashboard tab for your quadrant summary</t>
        </is>
      </c>
    </row>
    <row r="18">
      <c r="B18" s="8" t="inlineStr">
        <is>
          <t>4. Take action: promote Stars, engineer Plowhorses, reposition Puzzles, cut Dogs</t>
        </is>
      </c>
    </row>
    <row r="19">
      <c r="B19" s="8" t="inlineStr">
        <is>
          <t>5. Re-run quarterly with fresh sales data</t>
        </is>
      </c>
    </row>
    <row r="21">
      <c r="A21" t="inlineStr"/>
      <c r="B21" s="7" t="inlineStr">
        <is>
          <t>Key Thresholds</t>
        </is>
      </c>
    </row>
    <row r="22">
      <c r="B22" s="8" t="inlineStr">
        <is>
          <t>Popularity threshold = 70% of average units sold across all items</t>
        </is>
      </c>
    </row>
    <row r="23">
      <c r="B23" s="8" t="inlineStr">
        <is>
          <t>Profitability threshold = Mean contribution margin across all items</t>
        </is>
      </c>
    </row>
    <row r="24">
      <c r="B24" s="8" t="inlineStr">
        <is>
          <t>These are automatically calculated from your data.</t>
        </is>
      </c>
    </row>
    <row r="27">
      <c r="A27" s="9" t="inlineStr">
        <is>
          <t>Built by The Grumpy Chef — thegrumpychef.ca</t>
        </is>
      </c>
    </row>
  </sheetData>
  <mergeCells count="3">
    <mergeCell ref="A27:B27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>
      <c r="A1" s="10" t="inlineStr">
        <is>
          <t>Menu Engineering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1" t="inlineStr">
        <is>
          <t>Classify every item. Act on the data. Review quarterly.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2" t="inlineStr">
        <is>
          <t>Analysis Period:</t>
        </is>
      </c>
      <c r="B4" s="13" t="inlineStr">
        <is>
          <t>Last 90 Days</t>
        </is>
      </c>
      <c r="C4" s="14" t="n"/>
    </row>
    <row r="5">
      <c r="A5" s="12" t="inlineStr">
        <is>
          <t>Menu Category:</t>
        </is>
      </c>
      <c r="B5" s="13" t="inlineStr">
        <is>
          <t>Entrees</t>
        </is>
      </c>
      <c r="C5" s="14" t="n"/>
    </row>
    <row r="7">
      <c r="A7" s="15" t="inlineStr">
        <is>
          <t>Menu Item</t>
        </is>
      </c>
      <c r="B7" s="15" t="inlineStr">
        <is>
          <t>Category</t>
        </is>
      </c>
      <c r="C7" s="15" t="inlineStr">
        <is>
          <t>Units Sold</t>
        </is>
      </c>
      <c r="D7" s="15" t="inlineStr">
        <is>
          <t>Food Cost/Item</t>
        </is>
      </c>
      <c r="E7" s="15" t="inlineStr">
        <is>
          <t>Menu Price</t>
        </is>
      </c>
      <c r="F7" s="15" t="inlineStr">
        <is>
          <t>Contribution Margin</t>
        </is>
      </c>
      <c r="G7" s="15" t="inlineStr">
        <is>
          <t>Food Cost %</t>
        </is>
      </c>
      <c r="H7" s="15" t="inlineStr">
        <is>
          <t>Classification</t>
        </is>
      </c>
      <c r="I7" s="15" t="inlineStr">
        <is>
          <t>Action</t>
        </is>
      </c>
    </row>
    <row r="8">
      <c r="A8" s="16" t="inlineStr">
        <is>
          <t>Grilled Salmon</t>
        </is>
      </c>
      <c r="B8" s="13" t="inlineStr">
        <is>
          <t>Entrees</t>
        </is>
      </c>
      <c r="C8" s="17" t="n">
        <v>180</v>
      </c>
      <c r="D8" s="18" t="n">
        <v>8.5</v>
      </c>
      <c r="E8" s="18" t="n">
        <v>28</v>
      </c>
      <c r="F8" s="19">
        <f>IF(E8="","",E8-D8)</f>
        <v/>
      </c>
      <c r="G8" s="20">
        <f>IF(E8="","",D8/E8)</f>
        <v/>
      </c>
      <c r="H8" s="21">
        <f>IF(OR(C8="",E8=""),"",IF(AND(F8&gt;=AVERAGEIF(F8:F32,"&gt;0"),C8&gt;=0.7*AVERAGEIF(C8:C32,"&gt;0")),"STAR",IF(AND(F8&gt;=AVERAGEIF(F8:F32,"&gt;0"),C8&lt;0.7*AVERAGEIF(C8:C32,"&gt;0")),"PUZZLE",IF(AND(F8&lt;AVERAGEIF(F8:F32,"&gt;0"),C8&gt;=0.7*AVERAGEIF(C8:C32,"&gt;0")),"PLOWHORSE","DOG"))))</f>
        <v/>
      </c>
      <c r="I8" s="22">
        <f>IF(H8="","",IF(H8="STAR","Protect &amp; promote",IF(H8="PLOWHORSE","Reduce cost or raise price",IF(H8="PUZZLE","Reposition or rename",IF(H8="DOG","Remove or rework","")))))</f>
        <v/>
      </c>
    </row>
    <row r="9">
      <c r="A9" s="16" t="inlineStr">
        <is>
          <t>Wagyu Burger</t>
        </is>
      </c>
      <c r="B9" s="13" t="inlineStr">
        <is>
          <t>Entrees</t>
        </is>
      </c>
      <c r="C9" s="17" t="n">
        <v>320</v>
      </c>
      <c r="D9" s="18" t="n">
        <v>9.75</v>
      </c>
      <c r="E9" s="18" t="n">
        <v>24</v>
      </c>
      <c r="F9" s="19">
        <f>IF(E9="","",E9-D9)</f>
        <v/>
      </c>
      <c r="G9" s="20">
        <f>IF(E9="","",D9/E9)</f>
        <v/>
      </c>
      <c r="H9" s="21">
        <f>IF(OR(C9="",E9=""),"",IF(AND(F9&gt;=AVERAGEIF(F8:F32,"&gt;0"),C9&gt;=0.7*AVERAGEIF(C8:C32,"&gt;0")),"STAR",IF(AND(F9&gt;=AVERAGEIF(F8:F32,"&gt;0"),C9&lt;0.7*AVERAGEIF(C8:C32,"&gt;0")),"PUZZLE",IF(AND(F9&lt;AVERAGEIF(F8:F32,"&gt;0"),C9&gt;=0.7*AVERAGEIF(C8:C32,"&gt;0")),"PLOWHORSE","DOG"))))</f>
        <v/>
      </c>
      <c r="I9" s="22">
        <f>IF(H9="","",IF(H9="STAR","Protect &amp; promote",IF(H9="PLOWHORSE","Reduce cost or raise price",IF(H9="PUZZLE","Reposition or rename",IF(H9="DOG","Remove or rework","")))))</f>
        <v/>
      </c>
    </row>
    <row r="10">
      <c r="A10" s="16" t="inlineStr">
        <is>
          <t>Caesar Salad</t>
        </is>
      </c>
      <c r="B10" s="13" t="inlineStr">
        <is>
          <t>Entrees</t>
        </is>
      </c>
      <c r="C10" s="17" t="n">
        <v>250</v>
      </c>
      <c r="D10" s="18" t="n">
        <v>2.8</v>
      </c>
      <c r="E10" s="18" t="n">
        <v>16</v>
      </c>
      <c r="F10" s="19">
        <f>IF(E10="","",E10-D10)</f>
        <v/>
      </c>
      <c r="G10" s="20">
        <f>IF(E10="","",D10/E10)</f>
        <v/>
      </c>
      <c r="H10" s="21">
        <f>IF(OR(C10="",E10=""),"",IF(AND(F10&gt;=AVERAGEIF(F8:F32,"&gt;0"),C10&gt;=0.7*AVERAGEIF(C8:C32,"&gt;0")),"STAR",IF(AND(F10&gt;=AVERAGEIF(F8:F32,"&gt;0"),C10&lt;0.7*AVERAGEIF(C8:C32,"&gt;0")),"PUZZLE",IF(AND(F10&lt;AVERAGEIF(F8:F32,"&gt;0"),C10&gt;=0.7*AVERAGEIF(C8:C32,"&gt;0")),"PLOWHORSE","DOG"))))</f>
        <v/>
      </c>
      <c r="I10" s="22">
        <f>IF(H10="","",IF(H10="STAR","Protect &amp; promote",IF(H10="PLOWHORSE","Reduce cost or raise price",IF(H10="PUZZLE","Reposition or rename",IF(H10="DOG","Remove or rework","")))))</f>
        <v/>
      </c>
    </row>
    <row r="11">
      <c r="A11" s="16" t="inlineStr">
        <is>
          <t>Duck Confit</t>
        </is>
      </c>
      <c r="B11" s="13" t="inlineStr">
        <is>
          <t>Entrees</t>
        </is>
      </c>
      <c r="C11" s="17" t="n">
        <v>45</v>
      </c>
      <c r="D11" s="18" t="n">
        <v>7.2</v>
      </c>
      <c r="E11" s="18" t="n">
        <v>34</v>
      </c>
      <c r="F11" s="19">
        <f>IF(E11="","",E11-D11)</f>
        <v/>
      </c>
      <c r="G11" s="20">
        <f>IF(E11="","",D11/E11)</f>
        <v/>
      </c>
      <c r="H11" s="21">
        <f>IF(OR(C11="",E11=""),"",IF(AND(F11&gt;=AVERAGEIF(F8:F32,"&gt;0"),C11&gt;=0.7*AVERAGEIF(C8:C32,"&gt;0")),"STAR",IF(AND(F11&gt;=AVERAGEIF(F8:F32,"&gt;0"),C11&lt;0.7*AVERAGEIF(C8:C32,"&gt;0")),"PUZZLE",IF(AND(F11&lt;AVERAGEIF(F8:F32,"&gt;0"),C11&gt;=0.7*AVERAGEIF(C8:C32,"&gt;0")),"PLOWHORSE","DOG"))))</f>
        <v/>
      </c>
      <c r="I11" s="22">
        <f>IF(H11="","",IF(H11="STAR","Protect &amp; promote",IF(H11="PLOWHORSE","Reduce cost or raise price",IF(H11="PUZZLE","Reposition or rename",IF(H11="DOG","Remove or rework","")))))</f>
        <v/>
      </c>
    </row>
    <row r="12">
      <c r="A12" s="16" t="inlineStr">
        <is>
          <t>Fish Tacos</t>
        </is>
      </c>
      <c r="B12" s="13" t="inlineStr">
        <is>
          <t>Entrees</t>
        </is>
      </c>
      <c r="C12" s="17" t="n">
        <v>280</v>
      </c>
      <c r="D12" s="18" t="n">
        <v>4.5</v>
      </c>
      <c r="E12" s="18" t="n">
        <v>18</v>
      </c>
      <c r="F12" s="19">
        <f>IF(E12="","",E12-D12)</f>
        <v/>
      </c>
      <c r="G12" s="20">
        <f>IF(E12="","",D12/E12)</f>
        <v/>
      </c>
      <c r="H12" s="21">
        <f>IF(OR(C12="",E12=""),"",IF(AND(F12&gt;=AVERAGEIF(F8:F32,"&gt;0"),C12&gt;=0.7*AVERAGEIF(C8:C32,"&gt;0")),"STAR",IF(AND(F12&gt;=AVERAGEIF(F8:F32,"&gt;0"),C12&lt;0.7*AVERAGEIF(C8:C32,"&gt;0")),"PUZZLE",IF(AND(F12&lt;AVERAGEIF(F8:F32,"&gt;0"),C12&gt;=0.7*AVERAGEIF(C8:C32,"&gt;0")),"PLOWHORSE","DOG"))))</f>
        <v/>
      </c>
      <c r="I12" s="22">
        <f>IF(H12="","",IF(H12="STAR","Protect &amp; promote",IF(H12="PLOWHORSE","Reduce cost or raise price",IF(H12="PUZZLE","Reposition or rename",IF(H12="DOG","Remove or rework","")))))</f>
        <v/>
      </c>
    </row>
    <row r="13">
      <c r="A13" s="16" t="inlineStr">
        <is>
          <t>Mushroom Risotto</t>
        </is>
      </c>
      <c r="B13" s="13" t="inlineStr">
        <is>
          <t>Entrees</t>
        </is>
      </c>
      <c r="C13" s="17" t="n">
        <v>90</v>
      </c>
      <c r="D13" s="18" t="n">
        <v>3.9</v>
      </c>
      <c r="E13" s="18" t="n">
        <v>22</v>
      </c>
      <c r="F13" s="19">
        <f>IF(E13="","",E13-D13)</f>
        <v/>
      </c>
      <c r="G13" s="20">
        <f>IF(E13="","",D13/E13)</f>
        <v/>
      </c>
      <c r="H13" s="21">
        <f>IF(OR(C13="",E13=""),"",IF(AND(F13&gt;=AVERAGEIF(F8:F32,"&gt;0"),C13&gt;=0.7*AVERAGEIF(C8:C32,"&gt;0")),"STAR",IF(AND(F13&gt;=AVERAGEIF(F8:F32,"&gt;0"),C13&lt;0.7*AVERAGEIF(C8:C32,"&gt;0")),"PUZZLE",IF(AND(F13&lt;AVERAGEIF(F8:F32,"&gt;0"),C13&gt;=0.7*AVERAGEIF(C8:C32,"&gt;0")),"PLOWHORSE","DOG"))))</f>
        <v/>
      </c>
      <c r="I13" s="22">
        <f>IF(H13="","",IF(H13="STAR","Protect &amp; promote",IF(H13="PLOWHORSE","Reduce cost or raise price",IF(H13="PUZZLE","Reposition or rename",IF(H13="DOG","Remove or rework","")))))</f>
        <v/>
      </c>
    </row>
    <row r="14">
      <c r="A14" s="16" t="inlineStr">
        <is>
          <t>Chicken Schnitzel</t>
        </is>
      </c>
      <c r="B14" s="13" t="inlineStr">
        <is>
          <t>Entrees</t>
        </is>
      </c>
      <c r="C14" s="17" t="n">
        <v>310</v>
      </c>
      <c r="D14" s="18" t="n">
        <v>5.2</v>
      </c>
      <c r="E14" s="18" t="n">
        <v>22</v>
      </c>
      <c r="F14" s="19">
        <f>IF(E14="","",E14-D14)</f>
        <v/>
      </c>
      <c r="G14" s="20">
        <f>IF(E14="","",D14/E14)</f>
        <v/>
      </c>
      <c r="H14" s="21">
        <f>IF(OR(C14="",E14=""),"",IF(AND(F14&gt;=AVERAGEIF(F8:F32,"&gt;0"),C14&gt;=0.7*AVERAGEIF(C8:C32,"&gt;0")),"STAR",IF(AND(F14&gt;=AVERAGEIF(F8:F32,"&gt;0"),C14&lt;0.7*AVERAGEIF(C8:C32,"&gt;0")),"PUZZLE",IF(AND(F14&lt;AVERAGEIF(F8:F32,"&gt;0"),C14&gt;=0.7*AVERAGEIF(C8:C32,"&gt;0")),"PLOWHORSE","DOG"))))</f>
        <v/>
      </c>
      <c r="I14" s="22">
        <f>IF(H14="","",IF(H14="STAR","Protect &amp; promote",IF(H14="PLOWHORSE","Reduce cost or raise price",IF(H14="PUZZLE","Reposition or rename",IF(H14="DOG","Remove or rework","")))))</f>
        <v/>
      </c>
    </row>
    <row r="15">
      <c r="A15" s="16" t="inlineStr">
        <is>
          <t>Lobster Tail</t>
        </is>
      </c>
      <c r="B15" s="13" t="inlineStr">
        <is>
          <t>Entrees</t>
        </is>
      </c>
      <c r="C15" s="17" t="n">
        <v>35</v>
      </c>
      <c r="D15" s="18" t="n">
        <v>18</v>
      </c>
      <c r="E15" s="18" t="n">
        <v>48</v>
      </c>
      <c r="F15" s="19">
        <f>IF(E15="","",E15-D15)</f>
        <v/>
      </c>
      <c r="G15" s="20">
        <f>IF(E15="","",D15/E15)</f>
        <v/>
      </c>
      <c r="H15" s="21">
        <f>IF(OR(C15="",E15=""),"",IF(AND(F15&gt;=AVERAGEIF(F8:F32,"&gt;0"),C15&gt;=0.7*AVERAGEIF(C8:C32,"&gt;0")),"STAR",IF(AND(F15&gt;=AVERAGEIF(F8:F32,"&gt;0"),C15&lt;0.7*AVERAGEIF(C8:C32,"&gt;0")),"PUZZLE",IF(AND(F15&lt;AVERAGEIF(F8:F32,"&gt;0"),C15&gt;=0.7*AVERAGEIF(C8:C32,"&gt;0")),"PLOWHORSE","DOG"))))</f>
        <v/>
      </c>
      <c r="I15" s="22">
        <f>IF(H15="","",IF(H15="STAR","Protect &amp; promote",IF(H15="PLOWHORSE","Reduce cost or raise price",IF(H15="PUZZLE","Reposition or rename",IF(H15="DOG","Remove or rework","")))))</f>
        <v/>
      </c>
    </row>
    <row r="16">
      <c r="A16" s="16" t="n"/>
      <c r="B16" s="13" t="n"/>
      <c r="C16" s="17" t="n"/>
      <c r="D16" s="18" t="n"/>
      <c r="E16" s="18" t="n"/>
      <c r="F16" s="19">
        <f>IF(E16="","",E16-D16)</f>
        <v/>
      </c>
      <c r="G16" s="20">
        <f>IF(E16="","",D16/E16)</f>
        <v/>
      </c>
      <c r="H16" s="21">
        <f>IF(OR(C16="",E16=""),"",IF(AND(F16&gt;=AVERAGEIF(F8:F32,"&gt;0"),C16&gt;=0.7*AVERAGEIF(C8:C32,"&gt;0")),"STAR",IF(AND(F16&gt;=AVERAGEIF(F8:F32,"&gt;0"),C16&lt;0.7*AVERAGEIF(C8:C32,"&gt;0")),"PUZZLE",IF(AND(F16&lt;AVERAGEIF(F8:F32,"&gt;0"),C16&gt;=0.7*AVERAGEIF(C8:C32,"&gt;0")),"PLOWHORSE","DOG"))))</f>
        <v/>
      </c>
      <c r="I16" s="22">
        <f>IF(H16="","",IF(H16="STAR","Protect &amp; promote",IF(H16="PLOWHORSE","Reduce cost or raise price",IF(H16="PUZZLE","Reposition or rename",IF(H16="DOG","Remove or rework","")))))</f>
        <v/>
      </c>
    </row>
    <row r="17">
      <c r="A17" s="16" t="n"/>
      <c r="B17" s="13" t="n"/>
      <c r="C17" s="17" t="n"/>
      <c r="D17" s="18" t="n"/>
      <c r="E17" s="18" t="n"/>
      <c r="F17" s="19">
        <f>IF(E17="","",E17-D17)</f>
        <v/>
      </c>
      <c r="G17" s="20">
        <f>IF(E17="","",D17/E17)</f>
        <v/>
      </c>
      <c r="H17" s="21">
        <f>IF(OR(C17="",E17=""),"",IF(AND(F17&gt;=AVERAGEIF(F8:F32,"&gt;0"),C17&gt;=0.7*AVERAGEIF(C8:C32,"&gt;0")),"STAR",IF(AND(F17&gt;=AVERAGEIF(F8:F32,"&gt;0"),C17&lt;0.7*AVERAGEIF(C8:C32,"&gt;0")),"PUZZLE",IF(AND(F17&lt;AVERAGEIF(F8:F32,"&gt;0"),C17&gt;=0.7*AVERAGEIF(C8:C32,"&gt;0")),"PLOWHORSE","DOG"))))</f>
        <v/>
      </c>
      <c r="I17" s="22">
        <f>IF(H17="","",IF(H17="STAR","Protect &amp; promote",IF(H17="PLOWHORSE","Reduce cost or raise price",IF(H17="PUZZLE","Reposition or rename",IF(H17="DOG","Remove or rework","")))))</f>
        <v/>
      </c>
    </row>
    <row r="18">
      <c r="A18" s="16" t="n"/>
      <c r="B18" s="13" t="n"/>
      <c r="C18" s="17" t="n"/>
      <c r="D18" s="18" t="n"/>
      <c r="E18" s="18" t="n"/>
      <c r="F18" s="19">
        <f>IF(E18="","",E18-D18)</f>
        <v/>
      </c>
      <c r="G18" s="20">
        <f>IF(E18="","",D18/E18)</f>
        <v/>
      </c>
      <c r="H18" s="21">
        <f>IF(OR(C18="",E18=""),"",IF(AND(F18&gt;=AVERAGEIF(F8:F32,"&gt;0"),C18&gt;=0.7*AVERAGEIF(C8:C32,"&gt;0")),"STAR",IF(AND(F18&gt;=AVERAGEIF(F8:F32,"&gt;0"),C18&lt;0.7*AVERAGEIF(C8:C32,"&gt;0")),"PUZZLE",IF(AND(F18&lt;AVERAGEIF(F8:F32,"&gt;0"),C18&gt;=0.7*AVERAGEIF(C8:C32,"&gt;0")),"PLOWHORSE","DOG"))))</f>
        <v/>
      </c>
      <c r="I18" s="22">
        <f>IF(H18="","",IF(H18="STAR","Protect &amp; promote",IF(H18="PLOWHORSE","Reduce cost or raise price",IF(H18="PUZZLE","Reposition or rename",IF(H18="DOG","Remove or rework","")))))</f>
        <v/>
      </c>
    </row>
    <row r="19">
      <c r="A19" s="16" t="n"/>
      <c r="B19" s="13" t="n"/>
      <c r="C19" s="17" t="n"/>
      <c r="D19" s="18" t="n"/>
      <c r="E19" s="18" t="n"/>
      <c r="F19" s="19">
        <f>IF(E19="","",E19-D19)</f>
        <v/>
      </c>
      <c r="G19" s="20">
        <f>IF(E19="","",D19/E19)</f>
        <v/>
      </c>
      <c r="H19" s="21">
        <f>IF(OR(C19="",E19=""),"",IF(AND(F19&gt;=AVERAGEIF(F8:F32,"&gt;0"),C19&gt;=0.7*AVERAGEIF(C8:C32,"&gt;0")),"STAR",IF(AND(F19&gt;=AVERAGEIF(F8:F32,"&gt;0"),C19&lt;0.7*AVERAGEIF(C8:C32,"&gt;0")),"PUZZLE",IF(AND(F19&lt;AVERAGEIF(F8:F32,"&gt;0"),C19&gt;=0.7*AVERAGEIF(C8:C32,"&gt;0")),"PLOWHORSE","DOG"))))</f>
        <v/>
      </c>
      <c r="I19" s="22">
        <f>IF(H19="","",IF(H19="STAR","Protect &amp; promote",IF(H19="PLOWHORSE","Reduce cost or raise price",IF(H19="PUZZLE","Reposition or rename",IF(H19="DOG","Remove or rework","")))))</f>
        <v/>
      </c>
    </row>
    <row r="20">
      <c r="A20" s="16" t="n"/>
      <c r="B20" s="13" t="n"/>
      <c r="C20" s="17" t="n"/>
      <c r="D20" s="18" t="n"/>
      <c r="E20" s="18" t="n"/>
      <c r="F20" s="19">
        <f>IF(E20="","",E20-D20)</f>
        <v/>
      </c>
      <c r="G20" s="20">
        <f>IF(E20="","",D20/E20)</f>
        <v/>
      </c>
      <c r="H20" s="21">
        <f>IF(OR(C20="",E20=""),"",IF(AND(F20&gt;=AVERAGEIF(F8:F32,"&gt;0"),C20&gt;=0.7*AVERAGEIF(C8:C32,"&gt;0")),"STAR",IF(AND(F20&gt;=AVERAGEIF(F8:F32,"&gt;0"),C20&lt;0.7*AVERAGEIF(C8:C32,"&gt;0")),"PUZZLE",IF(AND(F20&lt;AVERAGEIF(F8:F32,"&gt;0"),C20&gt;=0.7*AVERAGEIF(C8:C32,"&gt;0")),"PLOWHORSE","DOG"))))</f>
        <v/>
      </c>
      <c r="I20" s="22">
        <f>IF(H20="","",IF(H20="STAR","Protect &amp; promote",IF(H20="PLOWHORSE","Reduce cost or raise price",IF(H20="PUZZLE","Reposition or rename",IF(H20="DOG","Remove or rework","")))))</f>
        <v/>
      </c>
    </row>
    <row r="21">
      <c r="A21" s="16" t="n"/>
      <c r="B21" s="13" t="n"/>
      <c r="C21" s="17" t="n"/>
      <c r="D21" s="18" t="n"/>
      <c r="E21" s="18" t="n"/>
      <c r="F21" s="19">
        <f>IF(E21="","",E21-D21)</f>
        <v/>
      </c>
      <c r="G21" s="20">
        <f>IF(E21="","",D21/E21)</f>
        <v/>
      </c>
      <c r="H21" s="21">
        <f>IF(OR(C21="",E21=""),"",IF(AND(F21&gt;=AVERAGEIF(F8:F32,"&gt;0"),C21&gt;=0.7*AVERAGEIF(C8:C32,"&gt;0")),"STAR",IF(AND(F21&gt;=AVERAGEIF(F8:F32,"&gt;0"),C21&lt;0.7*AVERAGEIF(C8:C32,"&gt;0")),"PUZZLE",IF(AND(F21&lt;AVERAGEIF(F8:F32,"&gt;0"),C21&gt;=0.7*AVERAGEIF(C8:C32,"&gt;0")),"PLOWHORSE","DOG"))))</f>
        <v/>
      </c>
      <c r="I21" s="22">
        <f>IF(H21="","",IF(H21="STAR","Protect &amp; promote",IF(H21="PLOWHORSE","Reduce cost or raise price",IF(H21="PUZZLE","Reposition or rename",IF(H21="DOG","Remove or rework","")))))</f>
        <v/>
      </c>
    </row>
    <row r="22">
      <c r="A22" s="16" t="n"/>
      <c r="B22" s="13" t="n"/>
      <c r="C22" s="17" t="n"/>
      <c r="D22" s="18" t="n"/>
      <c r="E22" s="18" t="n"/>
      <c r="F22" s="19">
        <f>IF(E22="","",E22-D22)</f>
        <v/>
      </c>
      <c r="G22" s="20">
        <f>IF(E22="","",D22/E22)</f>
        <v/>
      </c>
      <c r="H22" s="21">
        <f>IF(OR(C22="",E22=""),"",IF(AND(F22&gt;=AVERAGEIF(F8:F32,"&gt;0"),C22&gt;=0.7*AVERAGEIF(C8:C32,"&gt;0")),"STAR",IF(AND(F22&gt;=AVERAGEIF(F8:F32,"&gt;0"),C22&lt;0.7*AVERAGEIF(C8:C32,"&gt;0")),"PUZZLE",IF(AND(F22&lt;AVERAGEIF(F8:F32,"&gt;0"),C22&gt;=0.7*AVERAGEIF(C8:C32,"&gt;0")),"PLOWHORSE","DOG"))))</f>
        <v/>
      </c>
      <c r="I22" s="22">
        <f>IF(H22="","",IF(H22="STAR","Protect &amp; promote",IF(H22="PLOWHORSE","Reduce cost or raise price",IF(H22="PUZZLE","Reposition or rename",IF(H22="DOG","Remove or rework","")))))</f>
        <v/>
      </c>
    </row>
    <row r="23">
      <c r="A23" s="16" t="n"/>
      <c r="B23" s="13" t="n"/>
      <c r="C23" s="17" t="n"/>
      <c r="D23" s="18" t="n"/>
      <c r="E23" s="18" t="n"/>
      <c r="F23" s="19">
        <f>IF(E23="","",E23-D23)</f>
        <v/>
      </c>
      <c r="G23" s="20">
        <f>IF(E23="","",D23/E23)</f>
        <v/>
      </c>
      <c r="H23" s="21">
        <f>IF(OR(C23="",E23=""),"",IF(AND(F23&gt;=AVERAGEIF(F8:F32,"&gt;0"),C23&gt;=0.7*AVERAGEIF(C8:C32,"&gt;0")),"STAR",IF(AND(F23&gt;=AVERAGEIF(F8:F32,"&gt;0"),C23&lt;0.7*AVERAGEIF(C8:C32,"&gt;0")),"PUZZLE",IF(AND(F23&lt;AVERAGEIF(F8:F32,"&gt;0"),C23&gt;=0.7*AVERAGEIF(C8:C32,"&gt;0")),"PLOWHORSE","DOG"))))</f>
        <v/>
      </c>
      <c r="I23" s="22">
        <f>IF(H23="","",IF(H23="STAR","Protect &amp; promote",IF(H23="PLOWHORSE","Reduce cost or raise price",IF(H23="PUZZLE","Reposition or rename",IF(H23="DOG","Remove or rework","")))))</f>
        <v/>
      </c>
    </row>
    <row r="24">
      <c r="A24" s="16" t="n"/>
      <c r="B24" s="13" t="n"/>
      <c r="C24" s="17" t="n"/>
      <c r="D24" s="18" t="n"/>
      <c r="E24" s="18" t="n"/>
      <c r="F24" s="19">
        <f>IF(E24="","",E24-D24)</f>
        <v/>
      </c>
      <c r="G24" s="20">
        <f>IF(E24="","",D24/E24)</f>
        <v/>
      </c>
      <c r="H24" s="21">
        <f>IF(OR(C24="",E24=""),"",IF(AND(F24&gt;=AVERAGEIF(F8:F32,"&gt;0"),C24&gt;=0.7*AVERAGEIF(C8:C32,"&gt;0")),"STAR",IF(AND(F24&gt;=AVERAGEIF(F8:F32,"&gt;0"),C24&lt;0.7*AVERAGEIF(C8:C32,"&gt;0")),"PUZZLE",IF(AND(F24&lt;AVERAGEIF(F8:F32,"&gt;0"),C24&gt;=0.7*AVERAGEIF(C8:C32,"&gt;0")),"PLOWHORSE","DOG"))))</f>
        <v/>
      </c>
      <c r="I24" s="22">
        <f>IF(H24="","",IF(H24="STAR","Protect &amp; promote",IF(H24="PLOWHORSE","Reduce cost or raise price",IF(H24="PUZZLE","Reposition or rename",IF(H24="DOG","Remove or rework","")))))</f>
        <v/>
      </c>
    </row>
    <row r="25">
      <c r="A25" s="16" t="n"/>
      <c r="B25" s="13" t="n"/>
      <c r="C25" s="17" t="n"/>
      <c r="D25" s="18" t="n"/>
      <c r="E25" s="18" t="n"/>
      <c r="F25" s="19">
        <f>IF(E25="","",E25-D25)</f>
        <v/>
      </c>
      <c r="G25" s="20">
        <f>IF(E25="","",D25/E25)</f>
        <v/>
      </c>
      <c r="H25" s="21">
        <f>IF(OR(C25="",E25=""),"",IF(AND(F25&gt;=AVERAGEIF(F8:F32,"&gt;0"),C25&gt;=0.7*AVERAGEIF(C8:C32,"&gt;0")),"STAR",IF(AND(F25&gt;=AVERAGEIF(F8:F32,"&gt;0"),C25&lt;0.7*AVERAGEIF(C8:C32,"&gt;0")),"PUZZLE",IF(AND(F25&lt;AVERAGEIF(F8:F32,"&gt;0"),C25&gt;=0.7*AVERAGEIF(C8:C32,"&gt;0")),"PLOWHORSE","DOG"))))</f>
        <v/>
      </c>
      <c r="I25" s="22">
        <f>IF(H25="","",IF(H25="STAR","Protect &amp; promote",IF(H25="PLOWHORSE","Reduce cost or raise price",IF(H25="PUZZLE","Reposition or rename",IF(H25="DOG","Remove or rework","")))))</f>
        <v/>
      </c>
    </row>
    <row r="26">
      <c r="A26" s="16" t="n"/>
      <c r="B26" s="13" t="n"/>
      <c r="C26" s="17" t="n"/>
      <c r="D26" s="18" t="n"/>
      <c r="E26" s="18" t="n"/>
      <c r="F26" s="19">
        <f>IF(E26="","",E26-D26)</f>
        <v/>
      </c>
      <c r="G26" s="20">
        <f>IF(E26="","",D26/E26)</f>
        <v/>
      </c>
      <c r="H26" s="21">
        <f>IF(OR(C26="",E26=""),"",IF(AND(F26&gt;=AVERAGEIF(F8:F32,"&gt;0"),C26&gt;=0.7*AVERAGEIF(C8:C32,"&gt;0")),"STAR",IF(AND(F26&gt;=AVERAGEIF(F8:F32,"&gt;0"),C26&lt;0.7*AVERAGEIF(C8:C32,"&gt;0")),"PUZZLE",IF(AND(F26&lt;AVERAGEIF(F8:F32,"&gt;0"),C26&gt;=0.7*AVERAGEIF(C8:C32,"&gt;0")),"PLOWHORSE","DOG"))))</f>
        <v/>
      </c>
      <c r="I26" s="22">
        <f>IF(H26="","",IF(H26="STAR","Protect &amp; promote",IF(H26="PLOWHORSE","Reduce cost or raise price",IF(H26="PUZZLE","Reposition or rename",IF(H26="DOG","Remove or rework","")))))</f>
        <v/>
      </c>
    </row>
    <row r="27">
      <c r="A27" s="16" t="n"/>
      <c r="B27" s="13" t="n"/>
      <c r="C27" s="17" t="n"/>
      <c r="D27" s="18" t="n"/>
      <c r="E27" s="18" t="n"/>
      <c r="F27" s="19">
        <f>IF(E27="","",E27-D27)</f>
        <v/>
      </c>
      <c r="G27" s="20">
        <f>IF(E27="","",D27/E27)</f>
        <v/>
      </c>
      <c r="H27" s="21">
        <f>IF(OR(C27="",E27=""),"",IF(AND(F27&gt;=AVERAGEIF(F8:F32,"&gt;0"),C27&gt;=0.7*AVERAGEIF(C8:C32,"&gt;0")),"STAR",IF(AND(F27&gt;=AVERAGEIF(F8:F32,"&gt;0"),C27&lt;0.7*AVERAGEIF(C8:C32,"&gt;0")),"PUZZLE",IF(AND(F27&lt;AVERAGEIF(F8:F32,"&gt;0"),C27&gt;=0.7*AVERAGEIF(C8:C32,"&gt;0")),"PLOWHORSE","DOG"))))</f>
        <v/>
      </c>
      <c r="I27" s="22">
        <f>IF(H27="","",IF(H27="STAR","Protect &amp; promote",IF(H27="PLOWHORSE","Reduce cost or raise price",IF(H27="PUZZLE","Reposition or rename",IF(H27="DOG","Remove or rework","")))))</f>
        <v/>
      </c>
    </row>
    <row r="28">
      <c r="A28" s="16" t="n"/>
      <c r="B28" s="13" t="n"/>
      <c r="C28" s="17" t="n"/>
      <c r="D28" s="18" t="n"/>
      <c r="E28" s="18" t="n"/>
      <c r="F28" s="19">
        <f>IF(E28="","",E28-D28)</f>
        <v/>
      </c>
      <c r="G28" s="20">
        <f>IF(E28="","",D28/E28)</f>
        <v/>
      </c>
      <c r="H28" s="21">
        <f>IF(OR(C28="",E28=""),"",IF(AND(F28&gt;=AVERAGEIF(F8:F32,"&gt;0"),C28&gt;=0.7*AVERAGEIF(C8:C32,"&gt;0")),"STAR",IF(AND(F28&gt;=AVERAGEIF(F8:F32,"&gt;0"),C28&lt;0.7*AVERAGEIF(C8:C32,"&gt;0")),"PUZZLE",IF(AND(F28&lt;AVERAGEIF(F8:F32,"&gt;0"),C28&gt;=0.7*AVERAGEIF(C8:C32,"&gt;0")),"PLOWHORSE","DOG"))))</f>
        <v/>
      </c>
      <c r="I28" s="22">
        <f>IF(H28="","",IF(H28="STAR","Protect &amp; promote",IF(H28="PLOWHORSE","Reduce cost or raise price",IF(H28="PUZZLE","Reposition or rename",IF(H28="DOG","Remove or rework","")))))</f>
        <v/>
      </c>
    </row>
    <row r="29">
      <c r="A29" s="16" t="n"/>
      <c r="B29" s="13" t="n"/>
      <c r="C29" s="17" t="n"/>
      <c r="D29" s="18" t="n"/>
      <c r="E29" s="18" t="n"/>
      <c r="F29" s="19">
        <f>IF(E29="","",E29-D29)</f>
        <v/>
      </c>
      <c r="G29" s="20">
        <f>IF(E29="","",D29/E29)</f>
        <v/>
      </c>
      <c r="H29" s="21">
        <f>IF(OR(C29="",E29=""),"",IF(AND(F29&gt;=AVERAGEIF(F8:F32,"&gt;0"),C29&gt;=0.7*AVERAGEIF(C8:C32,"&gt;0")),"STAR",IF(AND(F29&gt;=AVERAGEIF(F8:F32,"&gt;0"),C29&lt;0.7*AVERAGEIF(C8:C32,"&gt;0")),"PUZZLE",IF(AND(F29&lt;AVERAGEIF(F8:F32,"&gt;0"),C29&gt;=0.7*AVERAGEIF(C8:C32,"&gt;0")),"PLOWHORSE","DOG"))))</f>
        <v/>
      </c>
      <c r="I29" s="22">
        <f>IF(H29="","",IF(H29="STAR","Protect &amp; promote",IF(H29="PLOWHORSE","Reduce cost or raise price",IF(H29="PUZZLE","Reposition or rename",IF(H29="DOG","Remove or rework","")))))</f>
        <v/>
      </c>
    </row>
    <row r="30">
      <c r="A30" s="16" t="n"/>
      <c r="B30" s="13" t="n"/>
      <c r="C30" s="17" t="n"/>
      <c r="D30" s="18" t="n"/>
      <c r="E30" s="18" t="n"/>
      <c r="F30" s="19">
        <f>IF(E30="","",E30-D30)</f>
        <v/>
      </c>
      <c r="G30" s="20">
        <f>IF(E30="","",D30/E30)</f>
        <v/>
      </c>
      <c r="H30" s="21">
        <f>IF(OR(C30="",E30=""),"",IF(AND(F30&gt;=AVERAGEIF(F8:F32,"&gt;0"),C30&gt;=0.7*AVERAGEIF(C8:C32,"&gt;0")),"STAR",IF(AND(F30&gt;=AVERAGEIF(F8:F32,"&gt;0"),C30&lt;0.7*AVERAGEIF(C8:C32,"&gt;0")),"PUZZLE",IF(AND(F30&lt;AVERAGEIF(F8:F32,"&gt;0"),C30&gt;=0.7*AVERAGEIF(C8:C32,"&gt;0")),"PLOWHORSE","DOG"))))</f>
        <v/>
      </c>
      <c r="I30" s="22">
        <f>IF(H30="","",IF(H30="STAR","Protect &amp; promote",IF(H30="PLOWHORSE","Reduce cost or raise price",IF(H30="PUZZLE","Reposition or rename",IF(H30="DOG","Remove or rework","")))))</f>
        <v/>
      </c>
    </row>
    <row r="31">
      <c r="A31" s="16" t="n"/>
      <c r="B31" s="13" t="n"/>
      <c r="C31" s="17" t="n"/>
      <c r="D31" s="18" t="n"/>
      <c r="E31" s="18" t="n"/>
      <c r="F31" s="19">
        <f>IF(E31="","",E31-D31)</f>
        <v/>
      </c>
      <c r="G31" s="20">
        <f>IF(E31="","",D31/E31)</f>
        <v/>
      </c>
      <c r="H31" s="21">
        <f>IF(OR(C31="",E31=""),"",IF(AND(F31&gt;=AVERAGEIF(F8:F32,"&gt;0"),C31&gt;=0.7*AVERAGEIF(C8:C32,"&gt;0")),"STAR",IF(AND(F31&gt;=AVERAGEIF(F8:F32,"&gt;0"),C31&lt;0.7*AVERAGEIF(C8:C32,"&gt;0")),"PUZZLE",IF(AND(F31&lt;AVERAGEIF(F8:F32,"&gt;0"),C31&gt;=0.7*AVERAGEIF(C8:C32,"&gt;0")),"PLOWHORSE","DOG"))))</f>
        <v/>
      </c>
      <c r="I31" s="22">
        <f>IF(H31="","",IF(H31="STAR","Protect &amp; promote",IF(H31="PLOWHORSE","Reduce cost or raise price",IF(H31="PUZZLE","Reposition or rename",IF(H31="DOG","Remove or rework","")))))</f>
        <v/>
      </c>
    </row>
    <row r="32">
      <c r="A32" s="16" t="n"/>
      <c r="B32" s="13" t="n"/>
      <c r="C32" s="17" t="n"/>
      <c r="D32" s="18" t="n"/>
      <c r="E32" s="18" t="n"/>
      <c r="F32" s="19">
        <f>IF(E32="","",E32-D32)</f>
        <v/>
      </c>
      <c r="G32" s="20">
        <f>IF(E32="","",D32/E32)</f>
        <v/>
      </c>
      <c r="H32" s="21">
        <f>IF(OR(C32="",E32=""),"",IF(AND(F32&gt;=AVERAGEIF(F8:F32,"&gt;0"),C32&gt;=0.7*AVERAGEIF(C8:C32,"&gt;0")),"STAR",IF(AND(F32&gt;=AVERAGEIF(F8:F32,"&gt;0"),C32&lt;0.7*AVERAGEIF(C8:C32,"&gt;0")),"PUZZLE",IF(AND(F32&lt;AVERAGEIF(F8:F32,"&gt;0"),C32&gt;=0.7*AVERAGEIF(C8:C32,"&gt;0")),"PLOWHORSE","DOG"))))</f>
        <v/>
      </c>
      <c r="I32" s="22">
        <f>IF(H32="","",IF(H32="STAR","Protect &amp; promote",IF(H32="PLOWHORSE","Reduce cost or raise price",IF(H32="PUZZLE","Reposition or rename",IF(H32="DOG","Remove or rework","")))))</f>
        <v/>
      </c>
    </row>
    <row r="34">
      <c r="A34" s="23" t="inlineStr">
        <is>
          <t>DASHBOARD</t>
        </is>
      </c>
      <c r="B34" s="24" t="n"/>
      <c r="C34" s="24" t="n"/>
      <c r="D34" s="24" t="n"/>
      <c r="E34" s="24" t="n"/>
    </row>
    <row r="35">
      <c r="A35" s="25" t="inlineStr">
        <is>
          <t>Stars</t>
        </is>
      </c>
      <c r="B35" s="26">
        <f>COUNTIF(H8:H32,"STAR")</f>
        <v/>
      </c>
    </row>
    <row r="36">
      <c r="A36" s="25" t="inlineStr">
        <is>
          <t>Plowhorses</t>
        </is>
      </c>
      <c r="B36" s="26">
        <f>COUNTIF(H8:H32,"PLOWHORSE")</f>
        <v/>
      </c>
    </row>
    <row r="37">
      <c r="A37" s="25" t="inlineStr">
        <is>
          <t>Puzzles</t>
        </is>
      </c>
      <c r="B37" s="26">
        <f>COUNTIF(H8:H32,"PUZZLE")</f>
        <v/>
      </c>
    </row>
    <row r="38">
      <c r="A38" s="25" t="inlineStr">
        <is>
          <t>Dogs</t>
        </is>
      </c>
      <c r="B38" s="26">
        <f>COUNTIF(H8:H32,"DOG")</f>
        <v/>
      </c>
    </row>
    <row r="40">
      <c r="A40" s="25" t="inlineStr">
        <is>
          <t>Avg Contribution Margin</t>
        </is>
      </c>
      <c r="B40" s="19">
        <f>AVERAGEIF(F8:F32,"&gt;0")</f>
        <v/>
      </c>
    </row>
    <row r="41">
      <c r="A41" s="25" t="inlineStr">
        <is>
          <t>Popularity Threshold (70% of avg)</t>
        </is>
      </c>
      <c r="B41" s="26">
        <f>0.7*AVERAGEIF(C8:C32,"&gt;0")</f>
        <v/>
      </c>
    </row>
    <row r="42">
      <c r="A42" s="25" t="inlineStr">
        <is>
          <t>Total Items Analyzed</t>
        </is>
      </c>
      <c r="B42" s="26">
        <f>COUNTA(A8:A32)</f>
        <v/>
      </c>
    </row>
    <row r="44">
      <c r="A44" s="27" t="inlineStr">
        <is>
          <t>Built by The Grumpy Chef — thegrumpychef.ca</t>
        </is>
      </c>
    </row>
  </sheetData>
  <mergeCells count="6">
    <mergeCell ref="A34:E34"/>
    <mergeCell ref="A2:I2"/>
    <mergeCell ref="B5:C5"/>
    <mergeCell ref="A44:I44"/>
    <mergeCell ref="A1:I1"/>
    <mergeCell ref="B4:C4"/>
  </mergeCells>
  <conditionalFormatting sqref="H8">
    <cfRule type="cellIs" priority="1" operator="equal" dxfId="0">
      <formula>"STAR"</formula>
    </cfRule>
    <cfRule type="cellIs" priority="2" operator="equal" dxfId="1">
      <formula>"PUZZLE"</formula>
    </cfRule>
    <cfRule type="cellIs" priority="3" operator="equal" dxfId="1">
      <formula>"PLOWHORSE"</formula>
    </cfRule>
    <cfRule type="cellIs" priority="4" operator="equal" dxfId="2">
      <formula>"DOG"</formula>
    </cfRule>
  </conditionalFormatting>
  <conditionalFormatting sqref="H9">
    <cfRule type="cellIs" priority="5" operator="equal" dxfId="0">
      <formula>"STAR"</formula>
    </cfRule>
    <cfRule type="cellIs" priority="6" operator="equal" dxfId="1">
      <formula>"PUZZLE"</formula>
    </cfRule>
    <cfRule type="cellIs" priority="7" operator="equal" dxfId="1">
      <formula>"PLOWHORSE"</formula>
    </cfRule>
    <cfRule type="cellIs" priority="8" operator="equal" dxfId="2">
      <formula>"DOG"</formula>
    </cfRule>
  </conditionalFormatting>
  <conditionalFormatting sqref="H10">
    <cfRule type="cellIs" priority="9" operator="equal" dxfId="0">
      <formula>"STAR"</formula>
    </cfRule>
    <cfRule type="cellIs" priority="10" operator="equal" dxfId="1">
      <formula>"PUZZLE"</formula>
    </cfRule>
    <cfRule type="cellIs" priority="11" operator="equal" dxfId="1">
      <formula>"PLOWHORSE"</formula>
    </cfRule>
    <cfRule type="cellIs" priority="12" operator="equal" dxfId="2">
      <formula>"DOG"</formula>
    </cfRule>
  </conditionalFormatting>
  <conditionalFormatting sqref="H11">
    <cfRule type="cellIs" priority="13" operator="equal" dxfId="0">
      <formula>"STAR"</formula>
    </cfRule>
    <cfRule type="cellIs" priority="14" operator="equal" dxfId="1">
      <formula>"PUZZLE"</formula>
    </cfRule>
    <cfRule type="cellIs" priority="15" operator="equal" dxfId="1">
      <formula>"PLOWHORSE"</formula>
    </cfRule>
    <cfRule type="cellIs" priority="16" operator="equal" dxfId="2">
      <formula>"DOG"</formula>
    </cfRule>
  </conditionalFormatting>
  <conditionalFormatting sqref="H12">
    <cfRule type="cellIs" priority="17" operator="equal" dxfId="0">
      <formula>"STAR"</formula>
    </cfRule>
    <cfRule type="cellIs" priority="18" operator="equal" dxfId="1">
      <formula>"PUZZLE"</formula>
    </cfRule>
    <cfRule type="cellIs" priority="19" operator="equal" dxfId="1">
      <formula>"PLOWHORSE"</formula>
    </cfRule>
    <cfRule type="cellIs" priority="20" operator="equal" dxfId="2">
      <formula>"DOG"</formula>
    </cfRule>
  </conditionalFormatting>
  <conditionalFormatting sqref="H13">
    <cfRule type="cellIs" priority="21" operator="equal" dxfId="0">
      <formula>"STAR"</formula>
    </cfRule>
    <cfRule type="cellIs" priority="22" operator="equal" dxfId="1">
      <formula>"PUZZLE"</formula>
    </cfRule>
    <cfRule type="cellIs" priority="23" operator="equal" dxfId="1">
      <formula>"PLOWHORSE"</formula>
    </cfRule>
    <cfRule type="cellIs" priority="24" operator="equal" dxfId="2">
      <formula>"DOG"</formula>
    </cfRule>
  </conditionalFormatting>
  <conditionalFormatting sqref="H14">
    <cfRule type="cellIs" priority="25" operator="equal" dxfId="0">
      <formula>"STAR"</formula>
    </cfRule>
    <cfRule type="cellIs" priority="26" operator="equal" dxfId="1">
      <formula>"PUZZLE"</formula>
    </cfRule>
    <cfRule type="cellIs" priority="27" operator="equal" dxfId="1">
      <formula>"PLOWHORSE"</formula>
    </cfRule>
    <cfRule type="cellIs" priority="28" operator="equal" dxfId="2">
      <formula>"DOG"</formula>
    </cfRule>
  </conditionalFormatting>
  <conditionalFormatting sqref="H15">
    <cfRule type="cellIs" priority="29" operator="equal" dxfId="0">
      <formula>"STAR"</formula>
    </cfRule>
    <cfRule type="cellIs" priority="30" operator="equal" dxfId="1">
      <formula>"PUZZLE"</formula>
    </cfRule>
    <cfRule type="cellIs" priority="31" operator="equal" dxfId="1">
      <formula>"PLOWHORSE"</formula>
    </cfRule>
    <cfRule type="cellIs" priority="32" operator="equal" dxfId="2">
      <formula>"DOG"</formula>
    </cfRule>
  </conditionalFormatting>
  <conditionalFormatting sqref="H16">
    <cfRule type="cellIs" priority="33" operator="equal" dxfId="0">
      <formula>"STAR"</formula>
    </cfRule>
    <cfRule type="cellIs" priority="34" operator="equal" dxfId="1">
      <formula>"PUZZLE"</formula>
    </cfRule>
    <cfRule type="cellIs" priority="35" operator="equal" dxfId="1">
      <formula>"PLOWHORSE"</formula>
    </cfRule>
    <cfRule type="cellIs" priority="36" operator="equal" dxfId="2">
      <formula>"DOG"</formula>
    </cfRule>
  </conditionalFormatting>
  <conditionalFormatting sqref="H17">
    <cfRule type="cellIs" priority="37" operator="equal" dxfId="0">
      <formula>"STAR"</formula>
    </cfRule>
    <cfRule type="cellIs" priority="38" operator="equal" dxfId="1">
      <formula>"PUZZLE"</formula>
    </cfRule>
    <cfRule type="cellIs" priority="39" operator="equal" dxfId="1">
      <formula>"PLOWHORSE"</formula>
    </cfRule>
    <cfRule type="cellIs" priority="40" operator="equal" dxfId="2">
      <formula>"DOG"</formula>
    </cfRule>
  </conditionalFormatting>
  <conditionalFormatting sqref="H18">
    <cfRule type="cellIs" priority="41" operator="equal" dxfId="0">
      <formula>"STAR"</formula>
    </cfRule>
    <cfRule type="cellIs" priority="42" operator="equal" dxfId="1">
      <formula>"PUZZLE"</formula>
    </cfRule>
    <cfRule type="cellIs" priority="43" operator="equal" dxfId="1">
      <formula>"PLOWHORSE"</formula>
    </cfRule>
    <cfRule type="cellIs" priority="44" operator="equal" dxfId="2">
      <formula>"DOG"</formula>
    </cfRule>
  </conditionalFormatting>
  <conditionalFormatting sqref="H19">
    <cfRule type="cellIs" priority="45" operator="equal" dxfId="0">
      <formula>"STAR"</formula>
    </cfRule>
    <cfRule type="cellIs" priority="46" operator="equal" dxfId="1">
      <formula>"PUZZLE"</formula>
    </cfRule>
    <cfRule type="cellIs" priority="47" operator="equal" dxfId="1">
      <formula>"PLOWHORSE"</formula>
    </cfRule>
    <cfRule type="cellIs" priority="48" operator="equal" dxfId="2">
      <formula>"DOG"</formula>
    </cfRule>
  </conditionalFormatting>
  <conditionalFormatting sqref="H20">
    <cfRule type="cellIs" priority="49" operator="equal" dxfId="0">
      <formula>"STAR"</formula>
    </cfRule>
    <cfRule type="cellIs" priority="50" operator="equal" dxfId="1">
      <formula>"PUZZLE"</formula>
    </cfRule>
    <cfRule type="cellIs" priority="51" operator="equal" dxfId="1">
      <formula>"PLOWHORSE"</formula>
    </cfRule>
    <cfRule type="cellIs" priority="52" operator="equal" dxfId="2">
      <formula>"DOG"</formula>
    </cfRule>
  </conditionalFormatting>
  <conditionalFormatting sqref="H21">
    <cfRule type="cellIs" priority="53" operator="equal" dxfId="0">
      <formula>"STAR"</formula>
    </cfRule>
    <cfRule type="cellIs" priority="54" operator="equal" dxfId="1">
      <formula>"PUZZLE"</formula>
    </cfRule>
    <cfRule type="cellIs" priority="55" operator="equal" dxfId="1">
      <formula>"PLOWHORSE"</formula>
    </cfRule>
    <cfRule type="cellIs" priority="56" operator="equal" dxfId="2">
      <formula>"DOG"</formula>
    </cfRule>
  </conditionalFormatting>
  <conditionalFormatting sqref="H22">
    <cfRule type="cellIs" priority="57" operator="equal" dxfId="0">
      <formula>"STAR"</formula>
    </cfRule>
    <cfRule type="cellIs" priority="58" operator="equal" dxfId="1">
      <formula>"PUZZLE"</formula>
    </cfRule>
    <cfRule type="cellIs" priority="59" operator="equal" dxfId="1">
      <formula>"PLOWHORSE"</formula>
    </cfRule>
    <cfRule type="cellIs" priority="60" operator="equal" dxfId="2">
      <formula>"DOG"</formula>
    </cfRule>
  </conditionalFormatting>
  <conditionalFormatting sqref="H23">
    <cfRule type="cellIs" priority="61" operator="equal" dxfId="0">
      <formula>"STAR"</formula>
    </cfRule>
    <cfRule type="cellIs" priority="62" operator="equal" dxfId="1">
      <formula>"PUZZLE"</formula>
    </cfRule>
    <cfRule type="cellIs" priority="63" operator="equal" dxfId="1">
      <formula>"PLOWHORSE"</formula>
    </cfRule>
    <cfRule type="cellIs" priority="64" operator="equal" dxfId="2">
      <formula>"DOG"</formula>
    </cfRule>
  </conditionalFormatting>
  <conditionalFormatting sqref="H24">
    <cfRule type="cellIs" priority="65" operator="equal" dxfId="0">
      <formula>"STAR"</formula>
    </cfRule>
    <cfRule type="cellIs" priority="66" operator="equal" dxfId="1">
      <formula>"PUZZLE"</formula>
    </cfRule>
    <cfRule type="cellIs" priority="67" operator="equal" dxfId="1">
      <formula>"PLOWHORSE"</formula>
    </cfRule>
    <cfRule type="cellIs" priority="68" operator="equal" dxfId="2">
      <formula>"DOG"</formula>
    </cfRule>
  </conditionalFormatting>
  <conditionalFormatting sqref="H25">
    <cfRule type="cellIs" priority="69" operator="equal" dxfId="0">
      <formula>"STAR"</formula>
    </cfRule>
    <cfRule type="cellIs" priority="70" operator="equal" dxfId="1">
      <formula>"PUZZLE"</formula>
    </cfRule>
    <cfRule type="cellIs" priority="71" operator="equal" dxfId="1">
      <formula>"PLOWHORSE"</formula>
    </cfRule>
    <cfRule type="cellIs" priority="72" operator="equal" dxfId="2">
      <formula>"DOG"</formula>
    </cfRule>
  </conditionalFormatting>
  <conditionalFormatting sqref="H26">
    <cfRule type="cellIs" priority="73" operator="equal" dxfId="0">
      <formula>"STAR"</formula>
    </cfRule>
    <cfRule type="cellIs" priority="74" operator="equal" dxfId="1">
      <formula>"PUZZLE"</formula>
    </cfRule>
    <cfRule type="cellIs" priority="75" operator="equal" dxfId="1">
      <formula>"PLOWHORSE"</formula>
    </cfRule>
    <cfRule type="cellIs" priority="76" operator="equal" dxfId="2">
      <formula>"DOG"</formula>
    </cfRule>
  </conditionalFormatting>
  <conditionalFormatting sqref="H27">
    <cfRule type="cellIs" priority="77" operator="equal" dxfId="0">
      <formula>"STAR"</formula>
    </cfRule>
    <cfRule type="cellIs" priority="78" operator="equal" dxfId="1">
      <formula>"PUZZLE"</formula>
    </cfRule>
    <cfRule type="cellIs" priority="79" operator="equal" dxfId="1">
      <formula>"PLOWHORSE"</formula>
    </cfRule>
    <cfRule type="cellIs" priority="80" operator="equal" dxfId="2">
      <formula>"DOG"</formula>
    </cfRule>
  </conditionalFormatting>
  <conditionalFormatting sqref="H28">
    <cfRule type="cellIs" priority="81" operator="equal" dxfId="0">
      <formula>"STAR"</formula>
    </cfRule>
    <cfRule type="cellIs" priority="82" operator="equal" dxfId="1">
      <formula>"PUZZLE"</formula>
    </cfRule>
    <cfRule type="cellIs" priority="83" operator="equal" dxfId="1">
      <formula>"PLOWHORSE"</formula>
    </cfRule>
    <cfRule type="cellIs" priority="84" operator="equal" dxfId="2">
      <formula>"DOG"</formula>
    </cfRule>
  </conditionalFormatting>
  <conditionalFormatting sqref="H29">
    <cfRule type="cellIs" priority="85" operator="equal" dxfId="0">
      <formula>"STAR"</formula>
    </cfRule>
    <cfRule type="cellIs" priority="86" operator="equal" dxfId="1">
      <formula>"PUZZLE"</formula>
    </cfRule>
    <cfRule type="cellIs" priority="87" operator="equal" dxfId="1">
      <formula>"PLOWHORSE"</formula>
    </cfRule>
    <cfRule type="cellIs" priority="88" operator="equal" dxfId="2">
      <formula>"DOG"</formula>
    </cfRule>
  </conditionalFormatting>
  <conditionalFormatting sqref="H30">
    <cfRule type="cellIs" priority="89" operator="equal" dxfId="0">
      <formula>"STAR"</formula>
    </cfRule>
    <cfRule type="cellIs" priority="90" operator="equal" dxfId="1">
      <formula>"PUZZLE"</formula>
    </cfRule>
    <cfRule type="cellIs" priority="91" operator="equal" dxfId="1">
      <formula>"PLOWHORSE"</formula>
    </cfRule>
    <cfRule type="cellIs" priority="92" operator="equal" dxfId="2">
      <formula>"DOG"</formula>
    </cfRule>
  </conditionalFormatting>
  <conditionalFormatting sqref="H31">
    <cfRule type="cellIs" priority="93" operator="equal" dxfId="0">
      <formula>"STAR"</formula>
    </cfRule>
    <cfRule type="cellIs" priority="94" operator="equal" dxfId="1">
      <formula>"PUZZLE"</formula>
    </cfRule>
    <cfRule type="cellIs" priority="95" operator="equal" dxfId="1">
      <formula>"PLOWHORSE"</formula>
    </cfRule>
    <cfRule type="cellIs" priority="96" operator="equal" dxfId="2">
      <formula>"DOG"</formula>
    </cfRule>
  </conditionalFormatting>
  <conditionalFormatting sqref="H32">
    <cfRule type="cellIs" priority="97" operator="equal" dxfId="0">
      <formula>"STAR"</formula>
    </cfRule>
    <cfRule type="cellIs" priority="98" operator="equal" dxfId="1">
      <formula>"PUZZLE"</formula>
    </cfRule>
    <cfRule type="cellIs" priority="99" operator="equal" dxfId="1">
      <formula>"PLOWHORSE"</formula>
    </cfRule>
    <cfRule type="cellIs" priority="100" operator="equal" dxfId="2">
      <formula>"DOG"</formula>
    </cfRule>
  </conditionalFormatting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