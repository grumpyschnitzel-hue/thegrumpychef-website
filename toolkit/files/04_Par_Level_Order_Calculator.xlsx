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 Levels" sheetId="2" state="visible" r:id="rId2"/>
  </sheets>
  <definedNames>
    <definedName name="_xlnm.Print_Area" localSheetId="1">'Par Levels'!$A$1:$I$36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Par Level &amp; Order Calculator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Calculates exactly how much of every item to keep on hand (par level) and how much to order.</t>
        </is>
      </c>
    </row>
    <row r="9">
      <c r="B9" s="8" t="inlineStr">
        <is>
          <t>Running out = lost revenue (86'd items on a Saturday night).</t>
        </is>
      </c>
    </row>
    <row r="10">
      <c r="B10" s="8" t="inlineStr">
        <is>
          <t>Overstocking = spoilage and waste.</t>
        </is>
      </c>
    </row>
    <row r="11">
      <c r="B11" s="8" t="inlineStr">
        <is>
          <t>This template eliminates both problems.</t>
        </is>
      </c>
    </row>
    <row r="13">
      <c r="A13" t="inlineStr"/>
      <c r="B13" s="7" t="inlineStr">
        <is>
          <t>How To Use It</t>
        </is>
      </c>
    </row>
    <row r="14">
      <c r="B14" s="8" t="inlineStr">
        <is>
          <t>1. Enter each inventory item with daily usage, delivery frequency, and safety stock</t>
        </is>
      </c>
    </row>
    <row r="15">
      <c r="B15" s="8" t="inlineStr">
        <is>
          <t>2. Par levels auto-calculate</t>
        </is>
      </c>
    </row>
    <row r="16">
      <c r="B16" s="8" t="inlineStr">
        <is>
          <t>3. Before ordering, enter current on-hand quantity</t>
        </is>
      </c>
    </row>
    <row r="17">
      <c r="B17" s="8" t="inlineStr">
        <is>
          <t>4. Order quantity auto-generates (Par Level - On Hand = Order)</t>
        </is>
      </c>
    </row>
    <row r="18">
      <c r="B18" s="8" t="inlineStr">
        <is>
          <t>5. Review and adjust par levels monthly or seasonally</t>
        </is>
      </c>
    </row>
    <row r="20">
      <c r="A20" t="inlineStr"/>
      <c r="B20" s="7" t="inlineStr">
        <is>
          <t>The Formula</t>
        </is>
      </c>
    </row>
    <row r="21">
      <c r="B21" s="8" t="inlineStr">
        <is>
          <t>Par Level = (Daily Usage x Days Between Deliveries) + Safety Stock</t>
        </is>
      </c>
    </row>
    <row r="22">
      <c r="B22" s="8" t="inlineStr">
        <is>
          <t>Order Qty = Par Level - Current On Hand</t>
        </is>
      </c>
    </row>
    <row r="23">
      <c r="B23" s="8" t="inlineStr">
        <is>
          <t>If Order Qty is negative or zero, you don't need to order that item.</t>
        </is>
      </c>
    </row>
    <row r="26">
      <c r="A26" s="9" t="inlineStr">
        <is>
          <t>Built by The Grumpy Chef — thegrumpychef.ca</t>
        </is>
      </c>
    </row>
  </sheetData>
  <mergeCells count="3">
    <mergeCell ref="A26:B2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10" t="inlineStr">
        <is>
          <t>Par Level &amp; Order Calculator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1" t="inlineStr">
        <is>
          <t>Never run out. Never overstock. One formula.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2" t="inlineStr">
        <is>
          <t>Item</t>
        </is>
      </c>
      <c r="B4" s="12" t="inlineStr">
        <is>
          <t>Unit</t>
        </is>
      </c>
      <c r="C4" s="12" t="inlineStr">
        <is>
          <t>Daily Usage</t>
        </is>
      </c>
      <c r="D4" s="12" t="inlineStr">
        <is>
          <t>Days Between
Deliveries</t>
        </is>
      </c>
      <c r="E4" s="12" t="inlineStr">
        <is>
          <t>Safety Stock</t>
        </is>
      </c>
      <c r="F4" s="12" t="inlineStr">
        <is>
          <t>PAR LEVEL</t>
        </is>
      </c>
      <c r="G4" s="12" t="inlineStr">
        <is>
          <t>On Hand
(Current)</t>
        </is>
      </c>
      <c r="H4" s="12" t="inlineStr">
        <is>
          <t>ORDER QTY</t>
        </is>
      </c>
      <c r="I4" s="12" t="inlineStr">
        <is>
          <t>Vendor</t>
        </is>
      </c>
    </row>
    <row r="5">
      <c r="A5" s="13" t="inlineStr">
        <is>
          <t>Ground beef</t>
        </is>
      </c>
      <c r="B5" s="14" t="inlineStr">
        <is>
          <t>lbs</t>
        </is>
      </c>
      <c r="C5" s="15" t="n">
        <v>20</v>
      </c>
      <c r="D5" s="16" t="n">
        <v>3</v>
      </c>
      <c r="E5" s="15" t="n">
        <v>10</v>
      </c>
      <c r="F5" s="17">
        <f>IF(C5="","",(C5*D5)+E5)</f>
        <v/>
      </c>
      <c r="G5" s="15" t="n"/>
      <c r="H5" s="17">
        <f>IF(F5="","",MAX(F5-G5,0))</f>
        <v/>
      </c>
      <c r="I5" s="13" t="inlineStr">
        <is>
          <t>Main Broadliner</t>
        </is>
      </c>
    </row>
    <row r="6">
      <c r="A6" s="13" t="inlineStr">
        <is>
          <t>Chicken breast</t>
        </is>
      </c>
      <c r="B6" s="14" t="inlineStr">
        <is>
          <t>lbs</t>
        </is>
      </c>
      <c r="C6" s="15" t="n">
        <v>30</v>
      </c>
      <c r="D6" s="16" t="n">
        <v>3</v>
      </c>
      <c r="E6" s="15" t="n">
        <v>15</v>
      </c>
      <c r="F6" s="17">
        <f>IF(C6="","",(C6*D6)+E6)</f>
        <v/>
      </c>
      <c r="G6" s="15" t="n"/>
      <c r="H6" s="17">
        <f>IF(F6="","",MAX(F6-G6,0))</f>
        <v/>
      </c>
      <c r="I6" s="13" t="inlineStr">
        <is>
          <t>Main Broadliner</t>
        </is>
      </c>
    </row>
    <row r="7">
      <c r="A7" s="13" t="inlineStr">
        <is>
          <t>Salmon fillet</t>
        </is>
      </c>
      <c r="B7" s="14" t="inlineStr">
        <is>
          <t>lbs</t>
        </is>
      </c>
      <c r="C7" s="15" t="n">
        <v>8</v>
      </c>
      <c r="D7" s="16" t="n">
        <v>2</v>
      </c>
      <c r="E7" s="15" t="n">
        <v>4</v>
      </c>
      <c r="F7" s="17">
        <f>IF(C7="","",(C7*D7)+E7)</f>
        <v/>
      </c>
      <c r="G7" s="15" t="n"/>
      <c r="H7" s="17">
        <f>IF(F7="","",MAX(F7-G7,0))</f>
        <v/>
      </c>
      <c r="I7" s="13" t="inlineStr">
        <is>
          <t>Fish supplier</t>
        </is>
      </c>
    </row>
    <row r="8">
      <c r="A8" s="13" t="inlineStr">
        <is>
          <t>Romaine lettuce</t>
        </is>
      </c>
      <c r="B8" s="14" t="inlineStr">
        <is>
          <t>heads</t>
        </is>
      </c>
      <c r="C8" s="15" t="n">
        <v>12</v>
      </c>
      <c r="D8" s="16" t="n">
        <v>2</v>
      </c>
      <c r="E8" s="15" t="n">
        <v>6</v>
      </c>
      <c r="F8" s="17">
        <f>IF(C8="","",(C8*D8)+E8)</f>
        <v/>
      </c>
      <c r="G8" s="15" t="n"/>
      <c r="H8" s="17">
        <f>IF(F8="","",MAX(F8-G8,0))</f>
        <v/>
      </c>
      <c r="I8" s="13" t="inlineStr">
        <is>
          <t>Produce supplier</t>
        </is>
      </c>
    </row>
    <row r="9">
      <c r="A9" s="13" t="inlineStr">
        <is>
          <t>Tomatoes</t>
        </is>
      </c>
      <c r="B9" s="14" t="inlineStr">
        <is>
          <t>lbs</t>
        </is>
      </c>
      <c r="C9" s="15" t="n">
        <v>10</v>
      </c>
      <c r="D9" s="16" t="n">
        <v>2</v>
      </c>
      <c r="E9" s="15" t="n">
        <v>5</v>
      </c>
      <c r="F9" s="17">
        <f>IF(C9="","",(C9*D9)+E9)</f>
        <v/>
      </c>
      <c r="G9" s="15" t="n"/>
      <c r="H9" s="17">
        <f>IF(F9="","",MAX(F9-G9,0))</f>
        <v/>
      </c>
      <c r="I9" s="13" t="inlineStr">
        <is>
          <t>Produce supplier</t>
        </is>
      </c>
    </row>
    <row r="10">
      <c r="A10" s="13" t="inlineStr">
        <is>
          <t>Onions</t>
        </is>
      </c>
      <c r="B10" s="14" t="inlineStr">
        <is>
          <t>lbs</t>
        </is>
      </c>
      <c r="C10" s="15" t="n">
        <v>15</v>
      </c>
      <c r="D10" s="16" t="n">
        <v>3</v>
      </c>
      <c r="E10" s="15" t="n">
        <v>8</v>
      </c>
      <c r="F10" s="17">
        <f>IF(C10="","",(C10*D10)+E10)</f>
        <v/>
      </c>
      <c r="G10" s="15" t="n"/>
      <c r="H10" s="17">
        <f>IF(F10="","",MAX(F10-G10,0))</f>
        <v/>
      </c>
      <c r="I10" s="13" t="inlineStr">
        <is>
          <t>Main Broadliner</t>
        </is>
      </c>
    </row>
    <row r="11">
      <c r="A11" s="13" t="inlineStr">
        <is>
          <t>Butter</t>
        </is>
      </c>
      <c r="B11" s="14" t="inlineStr">
        <is>
          <t>lbs</t>
        </is>
      </c>
      <c r="C11" s="15" t="n">
        <v>5</v>
      </c>
      <c r="D11" s="16" t="n">
        <v>3</v>
      </c>
      <c r="E11" s="15" t="n">
        <v>3</v>
      </c>
      <c r="F11" s="17">
        <f>IF(C11="","",(C11*D11)+E11)</f>
        <v/>
      </c>
      <c r="G11" s="15" t="n"/>
      <c r="H11" s="17">
        <f>IF(F11="","",MAX(F11-G11,0))</f>
        <v/>
      </c>
      <c r="I11" s="13" t="inlineStr">
        <is>
          <t>Dairy supplier</t>
        </is>
      </c>
    </row>
    <row r="12">
      <c r="A12" s="13" t="inlineStr">
        <is>
          <t>Heavy cream</t>
        </is>
      </c>
      <c r="B12" s="14" t="inlineStr">
        <is>
          <t>L</t>
        </is>
      </c>
      <c r="C12" s="15" t="n">
        <v>4</v>
      </c>
      <c r="D12" s="16" t="n">
        <v>2</v>
      </c>
      <c r="E12" s="15" t="n">
        <v>2</v>
      </c>
      <c r="F12" s="17">
        <f>IF(C12="","",(C12*D12)+E12)</f>
        <v/>
      </c>
      <c r="G12" s="15" t="n"/>
      <c r="H12" s="17">
        <f>IF(F12="","",MAX(F12-G12,0))</f>
        <v/>
      </c>
      <c r="I12" s="13" t="inlineStr">
        <is>
          <t>Dairy supplier</t>
        </is>
      </c>
    </row>
    <row r="13">
      <c r="A13" s="13" t="inlineStr">
        <is>
          <t>Fryer oil</t>
        </is>
      </c>
      <c r="B13" s="14" t="inlineStr">
        <is>
          <t>L</t>
        </is>
      </c>
      <c r="C13" s="15" t="n">
        <v>8</v>
      </c>
      <c r="D13" s="16" t="n">
        <v>7</v>
      </c>
      <c r="E13" s="15" t="n">
        <v>10</v>
      </c>
      <c r="F13" s="17">
        <f>IF(C13="","",(C13*D13)+E13)</f>
        <v/>
      </c>
      <c r="G13" s="15" t="n"/>
      <c r="H13" s="17">
        <f>IF(F13="","",MAX(F13-G13,0))</f>
        <v/>
      </c>
      <c r="I13" s="13" t="inlineStr">
        <is>
          <t>Main Broadliner</t>
        </is>
      </c>
    </row>
    <row r="14">
      <c r="A14" s="13" t="inlineStr">
        <is>
          <t>All-purpose flour</t>
        </is>
      </c>
      <c r="B14" s="14" t="inlineStr">
        <is>
          <t>lbs</t>
        </is>
      </c>
      <c r="C14" s="15" t="n">
        <v>6</v>
      </c>
      <c r="D14" s="16" t="n">
        <v>7</v>
      </c>
      <c r="E14" s="15" t="n">
        <v>5</v>
      </c>
      <c r="F14" s="17">
        <f>IF(C14="","",(C14*D14)+E14)</f>
        <v/>
      </c>
      <c r="G14" s="15" t="n"/>
      <c r="H14" s="17">
        <f>IF(F14="","",MAX(F14-G14,0))</f>
        <v/>
      </c>
      <c r="I14" s="13" t="inlineStr">
        <is>
          <t>Main Broadliner</t>
        </is>
      </c>
    </row>
    <row r="15">
      <c r="A15" s="13" t="n"/>
      <c r="B15" s="14" t="n"/>
      <c r="C15" s="14" t="n"/>
      <c r="D15" s="14" t="n"/>
      <c r="E15" s="14" t="n"/>
      <c r="F15" s="17">
        <f>IF(C15="","",(C15*D15)+E15)</f>
        <v/>
      </c>
      <c r="G15" s="15" t="n"/>
      <c r="H15" s="17">
        <f>IF(F15="","",MAX(F15-G15,0))</f>
        <v/>
      </c>
      <c r="I15" s="13" t="n"/>
    </row>
    <row r="16">
      <c r="A16" s="13" t="n"/>
      <c r="B16" s="14" t="n"/>
      <c r="C16" s="14" t="n"/>
      <c r="D16" s="14" t="n"/>
      <c r="E16" s="14" t="n"/>
      <c r="F16" s="17">
        <f>IF(C16="","",(C16*D16)+E16)</f>
        <v/>
      </c>
      <c r="G16" s="15" t="n"/>
      <c r="H16" s="17">
        <f>IF(F16="","",MAX(F16-G16,0))</f>
        <v/>
      </c>
      <c r="I16" s="13" t="n"/>
    </row>
    <row r="17">
      <c r="A17" s="13" t="n"/>
      <c r="B17" s="14" t="n"/>
      <c r="C17" s="14" t="n"/>
      <c r="D17" s="14" t="n"/>
      <c r="E17" s="14" t="n"/>
      <c r="F17" s="17">
        <f>IF(C17="","",(C17*D17)+E17)</f>
        <v/>
      </c>
      <c r="G17" s="15" t="n"/>
      <c r="H17" s="17">
        <f>IF(F17="","",MAX(F17-G17,0))</f>
        <v/>
      </c>
      <c r="I17" s="13" t="n"/>
    </row>
    <row r="18">
      <c r="A18" s="13" t="n"/>
      <c r="B18" s="14" t="n"/>
      <c r="C18" s="14" t="n"/>
      <c r="D18" s="14" t="n"/>
      <c r="E18" s="14" t="n"/>
      <c r="F18" s="17">
        <f>IF(C18="","",(C18*D18)+E18)</f>
        <v/>
      </c>
      <c r="G18" s="15" t="n"/>
      <c r="H18" s="17">
        <f>IF(F18="","",MAX(F18-G18,0))</f>
        <v/>
      </c>
      <c r="I18" s="13" t="n"/>
    </row>
    <row r="19">
      <c r="A19" s="13" t="n"/>
      <c r="B19" s="14" t="n"/>
      <c r="C19" s="14" t="n"/>
      <c r="D19" s="14" t="n"/>
      <c r="E19" s="14" t="n"/>
      <c r="F19" s="17">
        <f>IF(C19="","",(C19*D19)+E19)</f>
        <v/>
      </c>
      <c r="G19" s="15" t="n"/>
      <c r="H19" s="17">
        <f>IF(F19="","",MAX(F19-G19,0))</f>
        <v/>
      </c>
      <c r="I19" s="13" t="n"/>
    </row>
    <row r="20">
      <c r="A20" s="13" t="n"/>
      <c r="B20" s="14" t="n"/>
      <c r="C20" s="14" t="n"/>
      <c r="D20" s="14" t="n"/>
      <c r="E20" s="14" t="n"/>
      <c r="F20" s="17">
        <f>IF(C20="","",(C20*D20)+E20)</f>
        <v/>
      </c>
      <c r="G20" s="15" t="n"/>
      <c r="H20" s="17">
        <f>IF(F20="","",MAX(F20-G20,0))</f>
        <v/>
      </c>
      <c r="I20" s="13" t="n"/>
    </row>
    <row r="21">
      <c r="A21" s="13" t="n"/>
      <c r="B21" s="14" t="n"/>
      <c r="C21" s="14" t="n"/>
      <c r="D21" s="14" t="n"/>
      <c r="E21" s="14" t="n"/>
      <c r="F21" s="17">
        <f>IF(C21="","",(C21*D21)+E21)</f>
        <v/>
      </c>
      <c r="G21" s="15" t="n"/>
      <c r="H21" s="17">
        <f>IF(F21="","",MAX(F21-G21,0))</f>
        <v/>
      </c>
      <c r="I21" s="13" t="n"/>
    </row>
    <row r="22">
      <c r="A22" s="13" t="n"/>
      <c r="B22" s="14" t="n"/>
      <c r="C22" s="14" t="n"/>
      <c r="D22" s="14" t="n"/>
      <c r="E22" s="14" t="n"/>
      <c r="F22" s="17">
        <f>IF(C22="","",(C22*D22)+E22)</f>
        <v/>
      </c>
      <c r="G22" s="15" t="n"/>
      <c r="H22" s="17">
        <f>IF(F22="","",MAX(F22-G22,0))</f>
        <v/>
      </c>
      <c r="I22" s="13" t="n"/>
    </row>
    <row r="23">
      <c r="A23" s="13" t="n"/>
      <c r="B23" s="14" t="n"/>
      <c r="C23" s="14" t="n"/>
      <c r="D23" s="14" t="n"/>
      <c r="E23" s="14" t="n"/>
      <c r="F23" s="17">
        <f>IF(C23="","",(C23*D23)+E23)</f>
        <v/>
      </c>
      <c r="G23" s="15" t="n"/>
      <c r="H23" s="17">
        <f>IF(F23="","",MAX(F23-G23,0))</f>
        <v/>
      </c>
      <c r="I23" s="13" t="n"/>
    </row>
    <row r="24">
      <c r="A24" s="13" t="n"/>
      <c r="B24" s="14" t="n"/>
      <c r="C24" s="14" t="n"/>
      <c r="D24" s="14" t="n"/>
      <c r="E24" s="14" t="n"/>
      <c r="F24" s="17">
        <f>IF(C24="","",(C24*D24)+E24)</f>
        <v/>
      </c>
      <c r="G24" s="15" t="n"/>
      <c r="H24" s="17">
        <f>IF(F24="","",MAX(F24-G24,0))</f>
        <v/>
      </c>
      <c r="I24" s="13" t="n"/>
    </row>
    <row r="25">
      <c r="A25" s="13" t="n"/>
      <c r="B25" s="14" t="n"/>
      <c r="C25" s="14" t="n"/>
      <c r="D25" s="14" t="n"/>
      <c r="E25" s="14" t="n"/>
      <c r="F25" s="17">
        <f>IF(C25="","",(C25*D25)+E25)</f>
        <v/>
      </c>
      <c r="G25" s="15" t="n"/>
      <c r="H25" s="17">
        <f>IF(F25="","",MAX(F25-G25,0))</f>
        <v/>
      </c>
      <c r="I25" s="13" t="n"/>
    </row>
    <row r="26">
      <c r="A26" s="13" t="n"/>
      <c r="B26" s="14" t="n"/>
      <c r="C26" s="14" t="n"/>
      <c r="D26" s="14" t="n"/>
      <c r="E26" s="14" t="n"/>
      <c r="F26" s="17">
        <f>IF(C26="","",(C26*D26)+E26)</f>
        <v/>
      </c>
      <c r="G26" s="15" t="n"/>
      <c r="H26" s="17">
        <f>IF(F26="","",MAX(F26-G26,0))</f>
        <v/>
      </c>
      <c r="I26" s="13" t="n"/>
    </row>
    <row r="27">
      <c r="A27" s="13" t="n"/>
      <c r="B27" s="14" t="n"/>
      <c r="C27" s="14" t="n"/>
      <c r="D27" s="14" t="n"/>
      <c r="E27" s="14" t="n"/>
      <c r="F27" s="17">
        <f>IF(C27="","",(C27*D27)+E27)</f>
        <v/>
      </c>
      <c r="G27" s="15" t="n"/>
      <c r="H27" s="17">
        <f>IF(F27="","",MAX(F27-G27,0))</f>
        <v/>
      </c>
      <c r="I27" s="13" t="n"/>
    </row>
    <row r="28">
      <c r="A28" s="13" t="n"/>
      <c r="B28" s="14" t="n"/>
      <c r="C28" s="14" t="n"/>
      <c r="D28" s="14" t="n"/>
      <c r="E28" s="14" t="n"/>
      <c r="F28" s="17">
        <f>IF(C28="","",(C28*D28)+E28)</f>
        <v/>
      </c>
      <c r="G28" s="15" t="n"/>
      <c r="H28" s="17">
        <f>IF(F28="","",MAX(F28-G28,0))</f>
        <v/>
      </c>
      <c r="I28" s="13" t="n"/>
    </row>
    <row r="29">
      <c r="A29" s="13" t="n"/>
      <c r="B29" s="14" t="n"/>
      <c r="C29" s="14" t="n"/>
      <c r="D29" s="14" t="n"/>
      <c r="E29" s="14" t="n"/>
      <c r="F29" s="17">
        <f>IF(C29="","",(C29*D29)+E29)</f>
        <v/>
      </c>
      <c r="G29" s="15" t="n"/>
      <c r="H29" s="17">
        <f>IF(F29="","",MAX(F29-G29,0))</f>
        <v/>
      </c>
      <c r="I29" s="13" t="n"/>
    </row>
    <row r="30">
      <c r="A30" s="13" t="n"/>
      <c r="B30" s="14" t="n"/>
      <c r="C30" s="14" t="n"/>
      <c r="D30" s="14" t="n"/>
      <c r="E30" s="14" t="n"/>
      <c r="F30" s="17">
        <f>IF(C30="","",(C30*D30)+E30)</f>
        <v/>
      </c>
      <c r="G30" s="15" t="n"/>
      <c r="H30" s="17">
        <f>IF(F30="","",MAX(F30-G30,0))</f>
        <v/>
      </c>
      <c r="I30" s="13" t="n"/>
    </row>
    <row r="31">
      <c r="A31" s="13" t="n"/>
      <c r="B31" s="14" t="n"/>
      <c r="C31" s="14" t="n"/>
      <c r="D31" s="14" t="n"/>
      <c r="E31" s="14" t="n"/>
      <c r="F31" s="17">
        <f>IF(C31="","",(C31*D31)+E31)</f>
        <v/>
      </c>
      <c r="G31" s="15" t="n"/>
      <c r="H31" s="17">
        <f>IF(F31="","",MAX(F31-G31,0))</f>
        <v/>
      </c>
      <c r="I31" s="13" t="n"/>
    </row>
    <row r="32">
      <c r="A32" s="13" t="n"/>
      <c r="B32" s="14" t="n"/>
      <c r="C32" s="14" t="n"/>
      <c r="D32" s="14" t="n"/>
      <c r="E32" s="14" t="n"/>
      <c r="F32" s="17">
        <f>IF(C32="","",(C32*D32)+E32)</f>
        <v/>
      </c>
      <c r="G32" s="15" t="n"/>
      <c r="H32" s="17">
        <f>IF(F32="","",MAX(F32-G32,0))</f>
        <v/>
      </c>
      <c r="I32" s="13" t="n"/>
    </row>
    <row r="33">
      <c r="A33" s="13" t="n"/>
      <c r="B33" s="14" t="n"/>
      <c r="C33" s="14" t="n"/>
      <c r="D33" s="14" t="n"/>
      <c r="E33" s="14" t="n"/>
      <c r="F33" s="17">
        <f>IF(C33="","",(C33*D33)+E33)</f>
        <v/>
      </c>
      <c r="G33" s="15" t="n"/>
      <c r="H33" s="17">
        <f>IF(F33="","",MAX(F33-G33,0))</f>
        <v/>
      </c>
      <c r="I33" s="13" t="n"/>
    </row>
    <row r="34">
      <c r="A34" s="13" t="n"/>
      <c r="B34" s="14" t="n"/>
      <c r="C34" s="14" t="n"/>
      <c r="D34" s="14" t="n"/>
      <c r="E34" s="14" t="n"/>
      <c r="F34" s="17">
        <f>IF(C34="","",(C34*D34)+E34)</f>
        <v/>
      </c>
      <c r="G34" s="15" t="n"/>
      <c r="H34" s="17">
        <f>IF(F34="","",MAX(F34-G34,0))</f>
        <v/>
      </c>
      <c r="I34" s="13" t="n"/>
    </row>
    <row r="36">
      <c r="A36" s="18" t="inlineStr">
        <is>
          <t>Built by The Grumpy Chef — thegrumpychef.ca</t>
        </is>
      </c>
    </row>
  </sheetData>
  <mergeCells count="3">
    <mergeCell ref="A1:I1"/>
    <mergeCell ref="A36:I36"/>
    <mergeCell ref="A2:I2"/>
  </mergeCells>
  <conditionalFormatting sqref="H5">
    <cfRule type="cellIs" priority="1" operator="greaterThan" dxfId="0">
      <formula>0</formula>
    </cfRule>
  </conditionalFormatting>
  <conditionalFormatting sqref="H6">
    <cfRule type="cellIs" priority="2" operator="greaterThan" dxfId="0">
      <formula>0</formula>
    </cfRule>
  </conditionalFormatting>
  <conditionalFormatting sqref="H7">
    <cfRule type="cellIs" priority="3" operator="greaterThan" dxfId="0">
      <formula>0</formula>
    </cfRule>
  </conditionalFormatting>
  <conditionalFormatting sqref="H8">
    <cfRule type="cellIs" priority="4" operator="greaterThan" dxfId="0">
      <formula>0</formula>
    </cfRule>
  </conditionalFormatting>
  <conditionalFormatting sqref="H9">
    <cfRule type="cellIs" priority="5" operator="greaterThan" dxfId="0">
      <formula>0</formula>
    </cfRule>
  </conditionalFormatting>
  <conditionalFormatting sqref="H10">
    <cfRule type="cellIs" priority="6" operator="greaterThan" dxfId="0">
      <formula>0</formula>
    </cfRule>
  </conditionalFormatting>
  <conditionalFormatting sqref="H11">
    <cfRule type="cellIs" priority="7" operator="greaterThan" dxfId="0">
      <formula>0</formula>
    </cfRule>
  </conditionalFormatting>
  <conditionalFormatting sqref="H12">
    <cfRule type="cellIs" priority="8" operator="greaterThan" dxfId="0">
      <formula>0</formula>
    </cfRule>
  </conditionalFormatting>
  <conditionalFormatting sqref="H13">
    <cfRule type="cellIs" priority="9" operator="greaterThan" dxfId="0">
      <formula>0</formula>
    </cfRule>
  </conditionalFormatting>
  <conditionalFormatting sqref="H14">
    <cfRule type="cellIs" priority="10" operator="greaterThan" dxfId="0">
      <formula>0</formula>
    </cfRule>
  </conditionalFormatting>
  <conditionalFormatting sqref="H15">
    <cfRule type="cellIs" priority="11" operator="greaterThan" dxfId="0">
      <formula>0</formula>
    </cfRule>
  </conditionalFormatting>
  <conditionalFormatting sqref="H16">
    <cfRule type="cellIs" priority="12" operator="greaterThan" dxfId="0">
      <formula>0</formula>
    </cfRule>
  </conditionalFormatting>
  <conditionalFormatting sqref="H17">
    <cfRule type="cellIs" priority="13" operator="greaterThan" dxfId="0">
      <formula>0</formula>
    </cfRule>
  </conditionalFormatting>
  <conditionalFormatting sqref="H18">
    <cfRule type="cellIs" priority="14" operator="greaterThan" dxfId="0">
      <formula>0</formula>
    </cfRule>
  </conditionalFormatting>
  <conditionalFormatting sqref="H19">
    <cfRule type="cellIs" priority="15" operator="greaterThan" dxfId="0">
      <formula>0</formula>
    </cfRule>
  </conditionalFormatting>
  <conditionalFormatting sqref="H20">
    <cfRule type="cellIs" priority="16" operator="greaterThan" dxfId="0">
      <formula>0</formula>
    </cfRule>
  </conditionalFormatting>
  <conditionalFormatting sqref="H21">
    <cfRule type="cellIs" priority="17" operator="greaterThan" dxfId="0">
      <formula>0</formula>
    </cfRule>
  </conditionalFormatting>
  <conditionalFormatting sqref="H22">
    <cfRule type="cellIs" priority="18" operator="greaterThan" dxfId="0">
      <formula>0</formula>
    </cfRule>
  </conditionalFormatting>
  <conditionalFormatting sqref="H23">
    <cfRule type="cellIs" priority="19" operator="greaterThan" dxfId="0">
      <formula>0</formula>
    </cfRule>
  </conditionalFormatting>
  <conditionalFormatting sqref="H24">
    <cfRule type="cellIs" priority="20" operator="greaterThan" dxfId="0">
      <formula>0</formula>
    </cfRule>
  </conditionalFormatting>
  <conditionalFormatting sqref="H25">
    <cfRule type="cellIs" priority="21" operator="greaterThan" dxfId="0">
      <formula>0</formula>
    </cfRule>
  </conditionalFormatting>
  <conditionalFormatting sqref="H26">
    <cfRule type="cellIs" priority="22" operator="greaterThan" dxfId="0">
      <formula>0</formula>
    </cfRule>
  </conditionalFormatting>
  <conditionalFormatting sqref="H27">
    <cfRule type="cellIs" priority="23" operator="greaterThan" dxfId="0">
      <formula>0</formula>
    </cfRule>
  </conditionalFormatting>
  <conditionalFormatting sqref="H28">
    <cfRule type="cellIs" priority="24" operator="greaterThan" dxfId="0">
      <formula>0</formula>
    </cfRule>
  </conditionalFormatting>
  <conditionalFormatting sqref="H29">
    <cfRule type="cellIs" priority="25" operator="greaterThan" dxfId="0">
      <formula>0</formula>
    </cfRule>
  </conditionalFormatting>
  <conditionalFormatting sqref="H30">
    <cfRule type="cellIs" priority="26" operator="greaterThan" dxfId="0">
      <formula>0</formula>
    </cfRule>
  </conditionalFormatting>
  <conditionalFormatting sqref="H31">
    <cfRule type="cellIs" priority="27" operator="greaterThan" dxfId="0">
      <formula>0</formula>
    </cfRule>
  </conditionalFormatting>
  <conditionalFormatting sqref="H32">
    <cfRule type="cellIs" priority="28" operator="greaterThan" dxfId="0">
      <formula>0</formula>
    </cfRule>
  </conditionalFormatting>
  <conditionalFormatting sqref="H33">
    <cfRule type="cellIs" priority="29" operator="greaterThan" dxfId="0">
      <formula>0</formula>
    </cfRule>
  </conditionalFormatting>
  <conditionalFormatting sqref="H34">
    <cfRule type="cellIs" priority="30" operator="greater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