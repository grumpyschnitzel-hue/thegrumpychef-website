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Weekly Tracker" sheetId="2" state="visible" r:id="rId2"/>
  </sheets>
  <definedNames>
    <definedName name="_xlnm.Print_Area" localSheetId="1">'Weekly Tracker'!$A$1:$I$276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$#,##0"/>
    <numFmt numFmtId="166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4A843"/>
      <sz val="12"/>
    </font>
    <font>
      <name val="Calibri"/>
      <color rgb="002D2D2D"/>
      <sz val="11"/>
    </font>
    <font>
      <name val="Calibri"/>
      <b val="1"/>
      <color rgb="002D2D2D"/>
      <sz val="11"/>
    </font>
    <font>
      <name val="Calibri"/>
      <i val="1"/>
      <color rgb="00888888"/>
      <sz val="9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2D2D2D"/>
      <sz val="16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9E6"/>
        <bgColor rgb="00FFF9E6"/>
      </patternFill>
    </fill>
    <fill>
      <patternFill patternType="solid">
        <fgColor rgb="00F2F2F2"/>
        <bgColor rgb="00F2F2F2"/>
      </patternFill>
    </fill>
    <fill>
      <patternFill patternType="solid">
        <fgColor rgb="00D4A843"/>
        <bgColor rgb="00D4A843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0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0" pivotButton="0" quotePrefix="0" xfId="0"/>
    <xf numFmtId="0" fontId="0" fillId="6" borderId="0" pivotButton="0" quotePrefix="0" xfId="0"/>
    <xf numFmtId="166" fontId="4" fillId="4" borderId="1" applyAlignment="1" pivotButton="0" quotePrefix="0" xfId="0">
      <alignment horizontal="center" vertical="center" wrapText="1"/>
    </xf>
    <xf numFmtId="166" fontId="8" fillId="4" borderId="1" applyAlignment="1" pivotButton="0" quotePrefix="0" xfId="0">
      <alignment horizontal="center" vertical="center" wrapText="1"/>
    </xf>
    <xf numFmtId="166" fontId="6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EAFAF1"/>
          <bgColor rgb="00EAFAF1"/>
        </patternFill>
      </fill>
    </dxf>
    <dxf>
      <fill>
        <patternFill patternType="solid">
          <fgColor rgb="00FEF9E7"/>
          <bgColor rgb="00FEF9E7"/>
        </patternFill>
      </fill>
    </dxf>
    <dxf>
      <fill>
        <patternFill patternType="solid">
          <fgColor rgb="00FDEDEC"/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Weekly Prime Cost Tracker</t>
        </is>
      </c>
      <c r="B1" s="2" t="n"/>
    </row>
    <row r="2">
      <c r="A2" s="3" t="inlineStr">
        <is>
          <t>The Grumpy Chef Template Bundle</t>
        </is>
      </c>
      <c r="B2" s="2" t="n"/>
    </row>
    <row r="4">
      <c r="A4" s="4" t="inlineStr"/>
      <c r="B4" s="5" t="inlineStr">
        <is>
          <t>Yellow cells = YOUR INPUT (type here)</t>
        </is>
      </c>
    </row>
    <row r="5">
      <c r="A5" s="6" t="inlineStr"/>
      <c r="B5" s="5" t="inlineStr">
        <is>
          <t>Gray cells = AUTO-CALCULATED (don't touch)</t>
        </is>
      </c>
    </row>
    <row r="7">
      <c r="A7" t="inlineStr"/>
      <c r="B7" s="7" t="inlineStr">
        <is>
          <t>What This Template Does</t>
        </is>
      </c>
    </row>
    <row r="8">
      <c r="B8" s="8" t="inlineStr">
        <is>
          <t>Tracks your food cost, labor cost, and prime cost on a WEEKLY basis.</t>
        </is>
      </c>
    </row>
    <row r="9">
      <c r="B9" s="8" t="inlineStr">
        <is>
          <t>Restaurants that switch from monthly to weekly tracking lower food cost by 2-4 percentage points within weeks.</t>
        </is>
      </c>
    </row>
    <row r="10">
      <c r="B10" s="8" t="inlineStr">
        <is>
          <t>Monthly reporting is an autopsy. Weekly reporting is a diagnosis you can still treat.</t>
        </is>
      </c>
    </row>
    <row r="12">
      <c r="A12" t="inlineStr"/>
      <c r="B12" s="7" t="inlineStr">
        <is>
          <t>How To Use It</t>
        </is>
      </c>
    </row>
    <row r="13">
      <c r="B13" s="8" t="inlineStr">
        <is>
          <t>1. Every day, enter total sales and labor cost in the daily section</t>
        </is>
      </c>
    </row>
    <row r="14">
      <c r="B14" s="8" t="inlineStr">
        <is>
          <t>2. At the start of each week, enter beginning inventory (= last week's ending inventory)</t>
        </is>
      </c>
    </row>
    <row r="15">
      <c r="B15" s="8" t="inlineStr">
        <is>
          <t>3. Enter all purchases for the week</t>
        </is>
      </c>
    </row>
    <row r="16">
      <c r="B16" s="8" t="inlineStr">
        <is>
          <t>4. At week's end, do a physical count and enter ending inventory</t>
        </is>
      </c>
    </row>
    <row r="17">
      <c r="B17" s="8" t="inlineStr">
        <is>
          <t>5. All KPIs auto-calculate: COGS, Food Cost %, Labor %, Prime Cost %</t>
        </is>
      </c>
    </row>
    <row r="18">
      <c r="B18" s="8" t="inlineStr">
        <is>
          <t>6. The 13-week trend shows you whether you're improving or drifting</t>
        </is>
      </c>
    </row>
    <row r="20">
      <c r="A20" t="inlineStr"/>
      <c r="B20" s="7" t="inlineStr">
        <is>
          <t>Target Benchmarks</t>
        </is>
      </c>
    </row>
    <row r="21">
      <c r="B21" s="8" t="inlineStr">
        <is>
          <t>Food Cost %: 28-35% (varies by concept)</t>
        </is>
      </c>
    </row>
    <row r="22">
      <c r="B22" s="8" t="inlineStr">
        <is>
          <t>Labor Cost %: 25-35%</t>
        </is>
      </c>
    </row>
    <row r="23">
      <c r="B23" s="8" t="inlineStr">
        <is>
          <t>Prime Cost %: 60-65% (CRITICAL — this is THE number)</t>
        </is>
      </c>
    </row>
    <row r="24">
      <c r="B24" s="8" t="inlineStr">
        <is>
          <t>Green = On target | Amber = Watch closely | Red = Take action NOW</t>
        </is>
      </c>
    </row>
    <row r="27">
      <c r="A27" s="9" t="inlineStr">
        <is>
          <t>Built by The Grumpy Chef — thegrumpychef.ca</t>
        </is>
      </c>
    </row>
  </sheetData>
  <mergeCells count="3">
    <mergeCell ref="A27:B27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I27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0" t="inlineStr">
        <is>
          <t>Weekly Prime Cost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1" t="inlineStr">
        <is>
          <t>Track weekly. React fast. Protect your margins.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2" t="inlineStr">
        <is>
          <t>WEEK 1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</row>
    <row r="5">
      <c r="A5" s="14" t="inlineStr">
        <is>
          <t>Week Starting:</t>
        </is>
      </c>
      <c r="B5" s="15" t="n"/>
    </row>
    <row r="6">
      <c r="A6" s="16" t="inlineStr"/>
      <c r="B6" s="16" t="inlineStr">
        <is>
          <t>Mon</t>
        </is>
      </c>
      <c r="C6" s="16" t="inlineStr">
        <is>
          <t>Tue</t>
        </is>
      </c>
      <c r="D6" s="16" t="inlineStr">
        <is>
          <t>Wed</t>
        </is>
      </c>
      <c r="E6" s="16" t="inlineStr">
        <is>
          <t>Thu</t>
        </is>
      </c>
      <c r="F6" s="16" t="inlineStr">
        <is>
          <t>Fri</t>
        </is>
      </c>
      <c r="G6" s="16" t="inlineStr">
        <is>
          <t>Sat</t>
        </is>
      </c>
      <c r="H6" s="16" t="inlineStr">
        <is>
          <t>Sun</t>
        </is>
      </c>
      <c r="I6" s="16" t="inlineStr">
        <is>
          <t>TOTAL</t>
        </is>
      </c>
    </row>
    <row r="7">
      <c r="A7" s="14" t="inlineStr">
        <is>
          <t>Daily Sales ($)</t>
        </is>
      </c>
      <c r="B7" s="17" t="n"/>
      <c r="C7" s="17" t="n"/>
      <c r="D7" s="17" t="n"/>
      <c r="E7" s="17" t="n"/>
      <c r="F7" s="17" t="n"/>
      <c r="G7" s="17" t="n"/>
      <c r="H7" s="17" t="n"/>
      <c r="I7" s="18">
        <f>SUM(B7:H7)</f>
        <v/>
      </c>
    </row>
    <row r="8">
      <c r="A8" s="14" t="inlineStr">
        <is>
          <t>Daily Labor Cost ($)</t>
        </is>
      </c>
      <c r="B8" s="17" t="n"/>
      <c r="C8" s="17" t="n"/>
      <c r="D8" s="17" t="n"/>
      <c r="E8" s="17" t="n"/>
      <c r="F8" s="17" t="n"/>
      <c r="G8" s="17" t="n"/>
      <c r="H8" s="17" t="n"/>
      <c r="I8" s="18">
        <f>SUM(B8:H8)</f>
        <v/>
      </c>
    </row>
    <row r="10">
      <c r="A10" s="19" t="inlineStr">
        <is>
          <t>Beginning Inventory</t>
        </is>
      </c>
      <c r="B10" s="17" t="n"/>
    </row>
    <row r="11">
      <c r="A11" s="14" t="inlineStr">
        <is>
          <t>Purchases This Week</t>
        </is>
      </c>
      <c r="B11" s="17" t="n"/>
    </row>
    <row r="12">
      <c r="A12" s="14" t="inlineStr">
        <is>
          <t>Ending Inventory</t>
        </is>
      </c>
      <c r="B12" s="17" t="n"/>
    </row>
    <row r="14">
      <c r="A14" s="20" t="inlineStr">
        <is>
          <t>WEEKLY KPIs</t>
        </is>
      </c>
      <c r="B14" s="21" t="n"/>
      <c r="C14" s="21" t="n"/>
      <c r="D14" s="21" t="n"/>
    </row>
    <row r="15">
      <c r="A15" s="14" t="inlineStr">
        <is>
          <t>COGS (Food Cost $)</t>
        </is>
      </c>
      <c r="B15" s="18">
        <f>B10+B11-B12</f>
        <v/>
      </c>
    </row>
    <row r="16">
      <c r="A16" s="14" t="inlineStr">
        <is>
          <t>Total Sales</t>
        </is>
      </c>
      <c r="B16" s="18">
        <f>I7</f>
        <v/>
      </c>
    </row>
    <row r="17">
      <c r="A17" s="14" t="inlineStr">
        <is>
          <t>Food Cost %</t>
        </is>
      </c>
      <c r="B17" s="22">
        <f>IF(B16=0,"",B15/B16)</f>
        <v/>
      </c>
    </row>
    <row r="18">
      <c r="A18" s="14" t="inlineStr">
        <is>
          <t>Total Labor</t>
        </is>
      </c>
      <c r="B18" s="18">
        <f>I8</f>
        <v/>
      </c>
    </row>
    <row r="19">
      <c r="A19" s="14" t="inlineStr">
        <is>
          <t>Labor Cost %</t>
        </is>
      </c>
      <c r="B19" s="22">
        <f>IF(B16=0,"",B18/B16)</f>
        <v/>
      </c>
    </row>
    <row r="20">
      <c r="A20" s="14" t="inlineStr">
        <is>
          <t>PRIME COST %</t>
        </is>
      </c>
      <c r="B20" s="23">
        <f>IF(B16=0,"",(B15+B18)/B16)</f>
        <v/>
      </c>
    </row>
    <row r="21">
      <c r="A21" s="14" t="inlineStr">
        <is>
          <t>Ideal Food Cost %</t>
        </is>
      </c>
      <c r="B21" s="24" t="n"/>
    </row>
    <row r="22">
      <c r="A22" s="14" t="inlineStr">
        <is>
          <t>Variance (Actual - Ideal)</t>
        </is>
      </c>
      <c r="B22" s="22">
        <f>IF(B17="","",B17-B21)</f>
        <v/>
      </c>
    </row>
    <row r="25">
      <c r="A25" s="12" t="inlineStr">
        <is>
          <t>WEEK 2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>
      <c r="A26" s="14" t="inlineStr">
        <is>
          <t>Week Starting:</t>
        </is>
      </c>
      <c r="B26" s="15" t="n"/>
    </row>
    <row r="27">
      <c r="A27" s="16" t="inlineStr"/>
      <c r="B27" s="16" t="inlineStr">
        <is>
          <t>Mon</t>
        </is>
      </c>
      <c r="C27" s="16" t="inlineStr">
        <is>
          <t>Tue</t>
        </is>
      </c>
      <c r="D27" s="16" t="inlineStr">
        <is>
          <t>Wed</t>
        </is>
      </c>
      <c r="E27" s="16" t="inlineStr">
        <is>
          <t>Thu</t>
        </is>
      </c>
      <c r="F27" s="16" t="inlineStr">
        <is>
          <t>Fri</t>
        </is>
      </c>
      <c r="G27" s="16" t="inlineStr">
        <is>
          <t>Sat</t>
        </is>
      </c>
      <c r="H27" s="16" t="inlineStr">
        <is>
          <t>Sun</t>
        </is>
      </c>
      <c r="I27" s="16" t="inlineStr">
        <is>
          <t>TOTAL</t>
        </is>
      </c>
    </row>
    <row r="28">
      <c r="A28" s="14" t="inlineStr">
        <is>
          <t>Daily Sales ($)</t>
        </is>
      </c>
      <c r="B28" s="17" t="n"/>
      <c r="C28" s="17" t="n"/>
      <c r="D28" s="17" t="n"/>
      <c r="E28" s="17" t="n"/>
      <c r="F28" s="17" t="n"/>
      <c r="G28" s="17" t="n"/>
      <c r="H28" s="17" t="n"/>
      <c r="I28" s="18">
        <f>SUM(B28:H28)</f>
        <v/>
      </c>
    </row>
    <row r="29">
      <c r="A29" s="14" t="inlineStr">
        <is>
          <t>Daily Labor Cost ($)</t>
        </is>
      </c>
      <c r="B29" s="17" t="n"/>
      <c r="C29" s="17" t="n"/>
      <c r="D29" s="17" t="n"/>
      <c r="E29" s="17" t="n"/>
      <c r="F29" s="17" t="n"/>
      <c r="G29" s="17" t="n"/>
      <c r="H29" s="17" t="n"/>
      <c r="I29" s="18">
        <f>SUM(B29:H29)</f>
        <v/>
      </c>
    </row>
    <row r="31">
      <c r="A31" s="19" t="inlineStr">
        <is>
          <t>Beginning Inventory</t>
        </is>
      </c>
      <c r="B31" s="18" t="n"/>
    </row>
    <row r="32">
      <c r="A32" s="14" t="inlineStr">
        <is>
          <t>Purchases This Week</t>
        </is>
      </c>
      <c r="B32" s="17" t="n"/>
    </row>
    <row r="33">
      <c r="A33" s="14" t="inlineStr">
        <is>
          <t>Ending Inventory</t>
        </is>
      </c>
      <c r="B33" s="17" t="n"/>
    </row>
    <row r="35">
      <c r="A35" s="20" t="inlineStr">
        <is>
          <t>WEEKLY KPIs</t>
        </is>
      </c>
      <c r="B35" s="21" t="n"/>
      <c r="C35" s="21" t="n"/>
      <c r="D35" s="21" t="n"/>
    </row>
    <row r="36">
      <c r="A36" s="14" t="inlineStr">
        <is>
          <t>COGS (Food Cost $)</t>
        </is>
      </c>
      <c r="B36" s="18">
        <f>B31+B32-B33</f>
        <v/>
      </c>
    </row>
    <row r="37">
      <c r="A37" s="14" t="inlineStr">
        <is>
          <t>Total Sales</t>
        </is>
      </c>
      <c r="B37" s="18">
        <f>I28</f>
        <v/>
      </c>
    </row>
    <row r="38">
      <c r="A38" s="14" t="inlineStr">
        <is>
          <t>Food Cost %</t>
        </is>
      </c>
      <c r="B38" s="22">
        <f>IF(B37=0,"",B36/B37)</f>
        <v/>
      </c>
    </row>
    <row r="39">
      <c r="A39" s="14" t="inlineStr">
        <is>
          <t>Total Labor</t>
        </is>
      </c>
      <c r="B39" s="18">
        <f>I29</f>
        <v/>
      </c>
    </row>
    <row r="40">
      <c r="A40" s="14" t="inlineStr">
        <is>
          <t>Labor Cost %</t>
        </is>
      </c>
      <c r="B40" s="22">
        <f>IF(B37=0,"",B39/B37)</f>
        <v/>
      </c>
    </row>
    <row r="41">
      <c r="A41" s="14" t="inlineStr">
        <is>
          <t>PRIME COST %</t>
        </is>
      </c>
      <c r="B41" s="23">
        <f>IF(B37=0,"",(B36+B39)/B37)</f>
        <v/>
      </c>
    </row>
    <row r="42">
      <c r="A42" s="14" t="inlineStr">
        <is>
          <t>Ideal Food Cost %</t>
        </is>
      </c>
      <c r="B42" s="24" t="n"/>
    </row>
    <row r="43">
      <c r="A43" s="14" t="inlineStr">
        <is>
          <t>Variance (Actual - Ideal)</t>
        </is>
      </c>
      <c r="B43" s="22">
        <f>IF(B38="","",B38-B42)</f>
        <v/>
      </c>
    </row>
    <row r="46">
      <c r="A46" s="12" t="inlineStr">
        <is>
          <t>WEEK 3</t>
        </is>
      </c>
      <c r="B46" s="13" t="n"/>
      <c r="C46" s="13" t="n"/>
      <c r="D46" s="13" t="n"/>
      <c r="E46" s="13" t="n"/>
      <c r="F46" s="13" t="n"/>
      <c r="G46" s="13" t="n"/>
      <c r="H46" s="13" t="n"/>
      <c r="I46" s="13" t="n"/>
    </row>
    <row r="47">
      <c r="A47" s="14" t="inlineStr">
        <is>
          <t>Week Starting:</t>
        </is>
      </c>
      <c r="B47" s="15" t="n"/>
    </row>
    <row r="48">
      <c r="A48" s="16" t="inlineStr"/>
      <c r="B48" s="16" t="inlineStr">
        <is>
          <t>Mon</t>
        </is>
      </c>
      <c r="C48" s="16" t="inlineStr">
        <is>
          <t>Tue</t>
        </is>
      </c>
      <c r="D48" s="16" t="inlineStr">
        <is>
          <t>Wed</t>
        </is>
      </c>
      <c r="E48" s="16" t="inlineStr">
        <is>
          <t>Thu</t>
        </is>
      </c>
      <c r="F48" s="16" t="inlineStr">
        <is>
          <t>Fri</t>
        </is>
      </c>
      <c r="G48" s="16" t="inlineStr">
        <is>
          <t>Sat</t>
        </is>
      </c>
      <c r="H48" s="16" t="inlineStr">
        <is>
          <t>Sun</t>
        </is>
      </c>
      <c r="I48" s="16" t="inlineStr">
        <is>
          <t>TOTAL</t>
        </is>
      </c>
    </row>
    <row r="49">
      <c r="A49" s="14" t="inlineStr">
        <is>
          <t>Daily Sales ($)</t>
        </is>
      </c>
      <c r="B49" s="17" t="n"/>
      <c r="C49" s="17" t="n"/>
      <c r="D49" s="17" t="n"/>
      <c r="E49" s="17" t="n"/>
      <c r="F49" s="17" t="n"/>
      <c r="G49" s="17" t="n"/>
      <c r="H49" s="17" t="n"/>
      <c r="I49" s="18">
        <f>SUM(B49:H49)</f>
        <v/>
      </c>
    </row>
    <row r="50">
      <c r="A50" s="14" t="inlineStr">
        <is>
          <t>Daily Labor Cost ($)</t>
        </is>
      </c>
      <c r="B50" s="17" t="n"/>
      <c r="C50" s="17" t="n"/>
      <c r="D50" s="17" t="n"/>
      <c r="E50" s="17" t="n"/>
      <c r="F50" s="17" t="n"/>
      <c r="G50" s="17" t="n"/>
      <c r="H50" s="17" t="n"/>
      <c r="I50" s="18">
        <f>SUM(B50:H50)</f>
        <v/>
      </c>
    </row>
    <row r="52">
      <c r="A52" s="19" t="inlineStr">
        <is>
          <t>Beginning Inventory</t>
        </is>
      </c>
      <c r="B52" s="18" t="n"/>
    </row>
    <row r="53">
      <c r="A53" s="14" t="inlineStr">
        <is>
          <t>Purchases This Week</t>
        </is>
      </c>
      <c r="B53" s="17" t="n"/>
    </row>
    <row r="54">
      <c r="A54" s="14" t="inlineStr">
        <is>
          <t>Ending Inventory</t>
        </is>
      </c>
      <c r="B54" s="17" t="n"/>
    </row>
    <row r="56">
      <c r="A56" s="20" t="inlineStr">
        <is>
          <t>WEEKLY KPIs</t>
        </is>
      </c>
      <c r="B56" s="21" t="n"/>
      <c r="C56" s="21" t="n"/>
      <c r="D56" s="21" t="n"/>
    </row>
    <row r="57">
      <c r="A57" s="14" t="inlineStr">
        <is>
          <t>COGS (Food Cost $)</t>
        </is>
      </c>
      <c r="B57" s="18">
        <f>B52+B53-B54</f>
        <v/>
      </c>
    </row>
    <row r="58">
      <c r="A58" s="14" t="inlineStr">
        <is>
          <t>Total Sales</t>
        </is>
      </c>
      <c r="B58" s="18">
        <f>I49</f>
        <v/>
      </c>
    </row>
    <row r="59">
      <c r="A59" s="14" t="inlineStr">
        <is>
          <t>Food Cost %</t>
        </is>
      </c>
      <c r="B59" s="22">
        <f>IF(B58=0,"",B57/B58)</f>
        <v/>
      </c>
    </row>
    <row r="60">
      <c r="A60" s="14" t="inlineStr">
        <is>
          <t>Total Labor</t>
        </is>
      </c>
      <c r="B60" s="18">
        <f>I50</f>
        <v/>
      </c>
    </row>
    <row r="61">
      <c r="A61" s="14" t="inlineStr">
        <is>
          <t>Labor Cost %</t>
        </is>
      </c>
      <c r="B61" s="22">
        <f>IF(B58=0,"",B60/B58)</f>
        <v/>
      </c>
    </row>
    <row r="62">
      <c r="A62" s="14" t="inlineStr">
        <is>
          <t>PRIME COST %</t>
        </is>
      </c>
      <c r="B62" s="23">
        <f>IF(B58=0,"",(B57+B60)/B58)</f>
        <v/>
      </c>
    </row>
    <row r="63">
      <c r="A63" s="14" t="inlineStr">
        <is>
          <t>Ideal Food Cost %</t>
        </is>
      </c>
      <c r="B63" s="24" t="n"/>
    </row>
    <row r="64">
      <c r="A64" s="14" t="inlineStr">
        <is>
          <t>Variance (Actual - Ideal)</t>
        </is>
      </c>
      <c r="B64" s="22">
        <f>IF(B59="","",B59-B63)</f>
        <v/>
      </c>
    </row>
    <row r="67">
      <c r="A67" s="12" t="inlineStr">
        <is>
          <t>WEEK 4</t>
        </is>
      </c>
      <c r="B67" s="13" t="n"/>
      <c r="C67" s="13" t="n"/>
      <c r="D67" s="13" t="n"/>
      <c r="E67" s="13" t="n"/>
      <c r="F67" s="13" t="n"/>
      <c r="G67" s="13" t="n"/>
      <c r="H67" s="13" t="n"/>
      <c r="I67" s="13" t="n"/>
    </row>
    <row r="68">
      <c r="A68" s="14" t="inlineStr">
        <is>
          <t>Week Starting:</t>
        </is>
      </c>
      <c r="B68" s="15" t="n"/>
    </row>
    <row r="69">
      <c r="A69" s="16" t="inlineStr"/>
      <c r="B69" s="16" t="inlineStr">
        <is>
          <t>Mon</t>
        </is>
      </c>
      <c r="C69" s="16" t="inlineStr">
        <is>
          <t>Tue</t>
        </is>
      </c>
      <c r="D69" s="16" t="inlineStr">
        <is>
          <t>Wed</t>
        </is>
      </c>
      <c r="E69" s="16" t="inlineStr">
        <is>
          <t>Thu</t>
        </is>
      </c>
      <c r="F69" s="16" t="inlineStr">
        <is>
          <t>Fri</t>
        </is>
      </c>
      <c r="G69" s="16" t="inlineStr">
        <is>
          <t>Sat</t>
        </is>
      </c>
      <c r="H69" s="16" t="inlineStr">
        <is>
          <t>Sun</t>
        </is>
      </c>
      <c r="I69" s="16" t="inlineStr">
        <is>
          <t>TOTAL</t>
        </is>
      </c>
    </row>
    <row r="70">
      <c r="A70" s="14" t="inlineStr">
        <is>
          <t>Daily Sales ($)</t>
        </is>
      </c>
      <c r="B70" s="17" t="n"/>
      <c r="C70" s="17" t="n"/>
      <c r="D70" s="17" t="n"/>
      <c r="E70" s="17" t="n"/>
      <c r="F70" s="17" t="n"/>
      <c r="G70" s="17" t="n"/>
      <c r="H70" s="17" t="n"/>
      <c r="I70" s="18">
        <f>SUM(B70:H70)</f>
        <v/>
      </c>
    </row>
    <row r="71">
      <c r="A71" s="14" t="inlineStr">
        <is>
          <t>Daily Labor Cost ($)</t>
        </is>
      </c>
      <c r="B71" s="17" t="n"/>
      <c r="C71" s="17" t="n"/>
      <c r="D71" s="17" t="n"/>
      <c r="E71" s="17" t="n"/>
      <c r="F71" s="17" t="n"/>
      <c r="G71" s="17" t="n"/>
      <c r="H71" s="17" t="n"/>
      <c r="I71" s="18">
        <f>SUM(B71:H71)</f>
        <v/>
      </c>
    </row>
    <row r="73">
      <c r="A73" s="19" t="inlineStr">
        <is>
          <t>Beginning Inventory</t>
        </is>
      </c>
      <c r="B73" s="18" t="n"/>
    </row>
    <row r="74">
      <c r="A74" s="14" t="inlineStr">
        <is>
          <t>Purchases This Week</t>
        </is>
      </c>
      <c r="B74" s="17" t="n"/>
    </row>
    <row r="75">
      <c r="A75" s="14" t="inlineStr">
        <is>
          <t>Ending Inventory</t>
        </is>
      </c>
      <c r="B75" s="17" t="n"/>
    </row>
    <row r="77">
      <c r="A77" s="20" t="inlineStr">
        <is>
          <t>WEEKLY KPIs</t>
        </is>
      </c>
      <c r="B77" s="21" t="n"/>
      <c r="C77" s="21" t="n"/>
      <c r="D77" s="21" t="n"/>
    </row>
    <row r="78">
      <c r="A78" s="14" t="inlineStr">
        <is>
          <t>COGS (Food Cost $)</t>
        </is>
      </c>
      <c r="B78" s="18">
        <f>B73+B74-B75</f>
        <v/>
      </c>
    </row>
    <row r="79">
      <c r="A79" s="14" t="inlineStr">
        <is>
          <t>Total Sales</t>
        </is>
      </c>
      <c r="B79" s="18">
        <f>I70</f>
        <v/>
      </c>
    </row>
    <row r="80">
      <c r="A80" s="14" t="inlineStr">
        <is>
          <t>Food Cost %</t>
        </is>
      </c>
      <c r="B80" s="22">
        <f>IF(B79=0,"",B78/B79)</f>
        <v/>
      </c>
    </row>
    <row r="81">
      <c r="A81" s="14" t="inlineStr">
        <is>
          <t>Total Labor</t>
        </is>
      </c>
      <c r="B81" s="18">
        <f>I71</f>
        <v/>
      </c>
    </row>
    <row r="82">
      <c r="A82" s="14" t="inlineStr">
        <is>
          <t>Labor Cost %</t>
        </is>
      </c>
      <c r="B82" s="22">
        <f>IF(B79=0,"",B81/B79)</f>
        <v/>
      </c>
    </row>
    <row r="83">
      <c r="A83" s="14" t="inlineStr">
        <is>
          <t>PRIME COST %</t>
        </is>
      </c>
      <c r="B83" s="23">
        <f>IF(B79=0,"",(B78+B81)/B79)</f>
        <v/>
      </c>
    </row>
    <row r="84">
      <c r="A84" s="14" t="inlineStr">
        <is>
          <t>Ideal Food Cost %</t>
        </is>
      </c>
      <c r="B84" s="24" t="n"/>
    </row>
    <row r="85">
      <c r="A85" s="14" t="inlineStr">
        <is>
          <t>Variance (Actual - Ideal)</t>
        </is>
      </c>
      <c r="B85" s="22">
        <f>IF(B80="","",B80-B84)</f>
        <v/>
      </c>
    </row>
    <row r="88">
      <c r="A88" s="12" t="inlineStr">
        <is>
          <t>WEEK 5</t>
        </is>
      </c>
      <c r="B88" s="13" t="n"/>
      <c r="C88" s="13" t="n"/>
      <c r="D88" s="13" t="n"/>
      <c r="E88" s="13" t="n"/>
      <c r="F88" s="13" t="n"/>
      <c r="G88" s="13" t="n"/>
      <c r="H88" s="13" t="n"/>
      <c r="I88" s="13" t="n"/>
    </row>
    <row r="89">
      <c r="A89" s="14" t="inlineStr">
        <is>
          <t>Week Starting:</t>
        </is>
      </c>
      <c r="B89" s="15" t="n"/>
    </row>
    <row r="90">
      <c r="A90" s="16" t="inlineStr"/>
      <c r="B90" s="16" t="inlineStr">
        <is>
          <t>Mon</t>
        </is>
      </c>
      <c r="C90" s="16" t="inlineStr">
        <is>
          <t>Tue</t>
        </is>
      </c>
      <c r="D90" s="16" t="inlineStr">
        <is>
          <t>Wed</t>
        </is>
      </c>
      <c r="E90" s="16" t="inlineStr">
        <is>
          <t>Thu</t>
        </is>
      </c>
      <c r="F90" s="16" t="inlineStr">
        <is>
          <t>Fri</t>
        </is>
      </c>
      <c r="G90" s="16" t="inlineStr">
        <is>
          <t>Sat</t>
        </is>
      </c>
      <c r="H90" s="16" t="inlineStr">
        <is>
          <t>Sun</t>
        </is>
      </c>
      <c r="I90" s="16" t="inlineStr">
        <is>
          <t>TOTAL</t>
        </is>
      </c>
    </row>
    <row r="91">
      <c r="A91" s="14" t="inlineStr">
        <is>
          <t>Daily Sales ($)</t>
        </is>
      </c>
      <c r="B91" s="17" t="n"/>
      <c r="C91" s="17" t="n"/>
      <c r="D91" s="17" t="n"/>
      <c r="E91" s="17" t="n"/>
      <c r="F91" s="17" t="n"/>
      <c r="G91" s="17" t="n"/>
      <c r="H91" s="17" t="n"/>
      <c r="I91" s="18">
        <f>SUM(B91:H91)</f>
        <v/>
      </c>
    </row>
    <row r="92">
      <c r="A92" s="14" t="inlineStr">
        <is>
          <t>Daily Labor Cost ($)</t>
        </is>
      </c>
      <c r="B92" s="17" t="n"/>
      <c r="C92" s="17" t="n"/>
      <c r="D92" s="17" t="n"/>
      <c r="E92" s="17" t="n"/>
      <c r="F92" s="17" t="n"/>
      <c r="G92" s="17" t="n"/>
      <c r="H92" s="17" t="n"/>
      <c r="I92" s="18">
        <f>SUM(B92:H92)</f>
        <v/>
      </c>
    </row>
    <row r="94">
      <c r="A94" s="19" t="inlineStr">
        <is>
          <t>Beginning Inventory</t>
        </is>
      </c>
      <c r="B94" s="18" t="n"/>
    </row>
    <row r="95">
      <c r="A95" s="14" t="inlineStr">
        <is>
          <t>Purchases This Week</t>
        </is>
      </c>
      <c r="B95" s="17" t="n"/>
    </row>
    <row r="96">
      <c r="A96" s="14" t="inlineStr">
        <is>
          <t>Ending Inventory</t>
        </is>
      </c>
      <c r="B96" s="17" t="n"/>
    </row>
    <row r="98">
      <c r="A98" s="20" t="inlineStr">
        <is>
          <t>WEEKLY KPIs</t>
        </is>
      </c>
      <c r="B98" s="21" t="n"/>
      <c r="C98" s="21" t="n"/>
      <c r="D98" s="21" t="n"/>
    </row>
    <row r="99">
      <c r="A99" s="14" t="inlineStr">
        <is>
          <t>COGS (Food Cost $)</t>
        </is>
      </c>
      <c r="B99" s="18">
        <f>B94+B95-B96</f>
        <v/>
      </c>
    </row>
    <row r="100">
      <c r="A100" s="14" t="inlineStr">
        <is>
          <t>Total Sales</t>
        </is>
      </c>
      <c r="B100" s="18">
        <f>I91</f>
        <v/>
      </c>
    </row>
    <row r="101">
      <c r="A101" s="14" t="inlineStr">
        <is>
          <t>Food Cost %</t>
        </is>
      </c>
      <c r="B101" s="22">
        <f>IF(B100=0,"",B99/B100)</f>
        <v/>
      </c>
    </row>
    <row r="102">
      <c r="A102" s="14" t="inlineStr">
        <is>
          <t>Total Labor</t>
        </is>
      </c>
      <c r="B102" s="18">
        <f>I92</f>
        <v/>
      </c>
    </row>
    <row r="103">
      <c r="A103" s="14" t="inlineStr">
        <is>
          <t>Labor Cost %</t>
        </is>
      </c>
      <c r="B103" s="22">
        <f>IF(B100=0,"",B102/B100)</f>
        <v/>
      </c>
    </row>
    <row r="104">
      <c r="A104" s="14" t="inlineStr">
        <is>
          <t>PRIME COST %</t>
        </is>
      </c>
      <c r="B104" s="23">
        <f>IF(B100=0,"",(B99+B102)/B100)</f>
        <v/>
      </c>
    </row>
    <row r="105">
      <c r="A105" s="14" t="inlineStr">
        <is>
          <t>Ideal Food Cost %</t>
        </is>
      </c>
      <c r="B105" s="24" t="n"/>
    </row>
    <row r="106">
      <c r="A106" s="14" t="inlineStr">
        <is>
          <t>Variance (Actual - Ideal)</t>
        </is>
      </c>
      <c r="B106" s="22">
        <f>IF(B101="","",B101-B105)</f>
        <v/>
      </c>
    </row>
    <row r="109">
      <c r="A109" s="12" t="inlineStr">
        <is>
          <t>WEEK 6</t>
        </is>
      </c>
      <c r="B109" s="13" t="n"/>
      <c r="C109" s="13" t="n"/>
      <c r="D109" s="13" t="n"/>
      <c r="E109" s="13" t="n"/>
      <c r="F109" s="13" t="n"/>
      <c r="G109" s="13" t="n"/>
      <c r="H109" s="13" t="n"/>
      <c r="I109" s="13" t="n"/>
    </row>
    <row r="110">
      <c r="A110" s="14" t="inlineStr">
        <is>
          <t>Week Starting:</t>
        </is>
      </c>
      <c r="B110" s="15" t="n"/>
    </row>
    <row r="111">
      <c r="A111" s="16" t="inlineStr"/>
      <c r="B111" s="16" t="inlineStr">
        <is>
          <t>Mon</t>
        </is>
      </c>
      <c r="C111" s="16" t="inlineStr">
        <is>
          <t>Tue</t>
        </is>
      </c>
      <c r="D111" s="16" t="inlineStr">
        <is>
          <t>Wed</t>
        </is>
      </c>
      <c r="E111" s="16" t="inlineStr">
        <is>
          <t>Thu</t>
        </is>
      </c>
      <c r="F111" s="16" t="inlineStr">
        <is>
          <t>Fri</t>
        </is>
      </c>
      <c r="G111" s="16" t="inlineStr">
        <is>
          <t>Sat</t>
        </is>
      </c>
      <c r="H111" s="16" t="inlineStr">
        <is>
          <t>Sun</t>
        </is>
      </c>
      <c r="I111" s="16" t="inlineStr">
        <is>
          <t>TOTAL</t>
        </is>
      </c>
    </row>
    <row r="112">
      <c r="A112" s="14" t="inlineStr">
        <is>
          <t>Daily Sales ($)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18">
        <f>SUM(B112:H112)</f>
        <v/>
      </c>
    </row>
    <row r="113">
      <c r="A113" s="14" t="inlineStr">
        <is>
          <t>Daily Labor Cost ($)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8">
        <f>SUM(B113:H113)</f>
        <v/>
      </c>
    </row>
    <row r="115">
      <c r="A115" s="19" t="inlineStr">
        <is>
          <t>Beginning Inventory</t>
        </is>
      </c>
      <c r="B115" s="18" t="n"/>
    </row>
    <row r="116">
      <c r="A116" s="14" t="inlineStr">
        <is>
          <t>Purchases This Week</t>
        </is>
      </c>
      <c r="B116" s="17" t="n"/>
    </row>
    <row r="117">
      <c r="A117" s="14" t="inlineStr">
        <is>
          <t>Ending Inventory</t>
        </is>
      </c>
      <c r="B117" s="17" t="n"/>
    </row>
    <row r="119">
      <c r="A119" s="20" t="inlineStr">
        <is>
          <t>WEEKLY KPIs</t>
        </is>
      </c>
      <c r="B119" s="21" t="n"/>
      <c r="C119" s="21" t="n"/>
      <c r="D119" s="21" t="n"/>
    </row>
    <row r="120">
      <c r="A120" s="14" t="inlineStr">
        <is>
          <t>COGS (Food Cost $)</t>
        </is>
      </c>
      <c r="B120" s="18">
        <f>B115+B116-B117</f>
        <v/>
      </c>
    </row>
    <row r="121">
      <c r="A121" s="14" t="inlineStr">
        <is>
          <t>Total Sales</t>
        </is>
      </c>
      <c r="B121" s="18">
        <f>I112</f>
        <v/>
      </c>
    </row>
    <row r="122">
      <c r="A122" s="14" t="inlineStr">
        <is>
          <t>Food Cost %</t>
        </is>
      </c>
      <c r="B122" s="22">
        <f>IF(B121=0,"",B120/B121)</f>
        <v/>
      </c>
    </row>
    <row r="123">
      <c r="A123" s="14" t="inlineStr">
        <is>
          <t>Total Labor</t>
        </is>
      </c>
      <c r="B123" s="18">
        <f>I113</f>
        <v/>
      </c>
    </row>
    <row r="124">
      <c r="A124" s="14" t="inlineStr">
        <is>
          <t>Labor Cost %</t>
        </is>
      </c>
      <c r="B124" s="22">
        <f>IF(B121=0,"",B123/B121)</f>
        <v/>
      </c>
    </row>
    <row r="125">
      <c r="A125" s="14" t="inlineStr">
        <is>
          <t>PRIME COST %</t>
        </is>
      </c>
      <c r="B125" s="23">
        <f>IF(B121=0,"",(B120+B123)/B121)</f>
        <v/>
      </c>
    </row>
    <row r="126">
      <c r="A126" s="14" t="inlineStr">
        <is>
          <t>Ideal Food Cost %</t>
        </is>
      </c>
      <c r="B126" s="24" t="n"/>
    </row>
    <row r="127">
      <c r="A127" s="14" t="inlineStr">
        <is>
          <t>Variance (Actual - Ideal)</t>
        </is>
      </c>
      <c r="B127" s="22">
        <f>IF(B122="","",B122-B126)</f>
        <v/>
      </c>
    </row>
    <row r="130">
      <c r="A130" s="12" t="inlineStr">
        <is>
          <t>WEEK 7</t>
        </is>
      </c>
      <c r="B130" s="13" t="n"/>
      <c r="C130" s="13" t="n"/>
      <c r="D130" s="13" t="n"/>
      <c r="E130" s="13" t="n"/>
      <c r="F130" s="13" t="n"/>
      <c r="G130" s="13" t="n"/>
      <c r="H130" s="13" t="n"/>
      <c r="I130" s="13" t="n"/>
    </row>
    <row r="131">
      <c r="A131" s="14" t="inlineStr">
        <is>
          <t>Week Starting:</t>
        </is>
      </c>
      <c r="B131" s="15" t="n"/>
    </row>
    <row r="132">
      <c r="A132" s="16" t="inlineStr"/>
      <c r="B132" s="16" t="inlineStr">
        <is>
          <t>Mon</t>
        </is>
      </c>
      <c r="C132" s="16" t="inlineStr">
        <is>
          <t>Tue</t>
        </is>
      </c>
      <c r="D132" s="16" t="inlineStr">
        <is>
          <t>Wed</t>
        </is>
      </c>
      <c r="E132" s="16" t="inlineStr">
        <is>
          <t>Thu</t>
        </is>
      </c>
      <c r="F132" s="16" t="inlineStr">
        <is>
          <t>Fri</t>
        </is>
      </c>
      <c r="G132" s="16" t="inlineStr">
        <is>
          <t>Sat</t>
        </is>
      </c>
      <c r="H132" s="16" t="inlineStr">
        <is>
          <t>Sun</t>
        </is>
      </c>
      <c r="I132" s="16" t="inlineStr">
        <is>
          <t>TOTAL</t>
        </is>
      </c>
    </row>
    <row r="133">
      <c r="A133" s="14" t="inlineStr">
        <is>
          <t>Daily Sales ($)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8">
        <f>SUM(B133:H133)</f>
        <v/>
      </c>
    </row>
    <row r="134">
      <c r="A134" s="14" t="inlineStr">
        <is>
          <t>Daily Labor Cost ($)</t>
        </is>
      </c>
      <c r="B134" s="17" t="n"/>
      <c r="C134" s="17" t="n"/>
      <c r="D134" s="17" t="n"/>
      <c r="E134" s="17" t="n"/>
      <c r="F134" s="17" t="n"/>
      <c r="G134" s="17" t="n"/>
      <c r="H134" s="17" t="n"/>
      <c r="I134" s="18">
        <f>SUM(B134:H134)</f>
        <v/>
      </c>
    </row>
    <row r="136">
      <c r="A136" s="19" t="inlineStr">
        <is>
          <t>Beginning Inventory</t>
        </is>
      </c>
      <c r="B136" s="18" t="n"/>
    </row>
    <row r="137">
      <c r="A137" s="14" t="inlineStr">
        <is>
          <t>Purchases This Week</t>
        </is>
      </c>
      <c r="B137" s="17" t="n"/>
    </row>
    <row r="138">
      <c r="A138" s="14" t="inlineStr">
        <is>
          <t>Ending Inventory</t>
        </is>
      </c>
      <c r="B138" s="17" t="n"/>
    </row>
    <row r="140">
      <c r="A140" s="20" t="inlineStr">
        <is>
          <t>WEEKLY KPIs</t>
        </is>
      </c>
      <c r="B140" s="21" t="n"/>
      <c r="C140" s="21" t="n"/>
      <c r="D140" s="21" t="n"/>
    </row>
    <row r="141">
      <c r="A141" s="14" t="inlineStr">
        <is>
          <t>COGS (Food Cost $)</t>
        </is>
      </c>
      <c r="B141" s="18">
        <f>B136+B137-B138</f>
        <v/>
      </c>
    </row>
    <row r="142">
      <c r="A142" s="14" t="inlineStr">
        <is>
          <t>Total Sales</t>
        </is>
      </c>
      <c r="B142" s="18">
        <f>I133</f>
        <v/>
      </c>
    </row>
    <row r="143">
      <c r="A143" s="14" t="inlineStr">
        <is>
          <t>Food Cost %</t>
        </is>
      </c>
      <c r="B143" s="22">
        <f>IF(B142=0,"",B141/B142)</f>
        <v/>
      </c>
    </row>
    <row r="144">
      <c r="A144" s="14" t="inlineStr">
        <is>
          <t>Total Labor</t>
        </is>
      </c>
      <c r="B144" s="18">
        <f>I134</f>
        <v/>
      </c>
    </row>
    <row r="145">
      <c r="A145" s="14" t="inlineStr">
        <is>
          <t>Labor Cost %</t>
        </is>
      </c>
      <c r="B145" s="22">
        <f>IF(B142=0,"",B144/B142)</f>
        <v/>
      </c>
    </row>
    <row r="146">
      <c r="A146" s="14" t="inlineStr">
        <is>
          <t>PRIME COST %</t>
        </is>
      </c>
      <c r="B146" s="23">
        <f>IF(B142=0,"",(B141+B144)/B142)</f>
        <v/>
      </c>
    </row>
    <row r="147">
      <c r="A147" s="14" t="inlineStr">
        <is>
          <t>Ideal Food Cost %</t>
        </is>
      </c>
      <c r="B147" s="24" t="n"/>
    </row>
    <row r="148">
      <c r="A148" s="14" t="inlineStr">
        <is>
          <t>Variance (Actual - Ideal)</t>
        </is>
      </c>
      <c r="B148" s="22">
        <f>IF(B143="","",B143-B147)</f>
        <v/>
      </c>
    </row>
    <row r="151">
      <c r="A151" s="12" t="inlineStr">
        <is>
          <t>WEEK 8</t>
        </is>
      </c>
      <c r="B151" s="13" t="n"/>
      <c r="C151" s="13" t="n"/>
      <c r="D151" s="13" t="n"/>
      <c r="E151" s="13" t="n"/>
      <c r="F151" s="13" t="n"/>
      <c r="G151" s="13" t="n"/>
      <c r="H151" s="13" t="n"/>
      <c r="I151" s="13" t="n"/>
    </row>
    <row r="152">
      <c r="A152" s="14" t="inlineStr">
        <is>
          <t>Week Starting:</t>
        </is>
      </c>
      <c r="B152" s="15" t="n"/>
    </row>
    <row r="153">
      <c r="A153" s="16" t="inlineStr"/>
      <c r="B153" s="16" t="inlineStr">
        <is>
          <t>Mon</t>
        </is>
      </c>
      <c r="C153" s="16" t="inlineStr">
        <is>
          <t>Tue</t>
        </is>
      </c>
      <c r="D153" s="16" t="inlineStr">
        <is>
          <t>Wed</t>
        </is>
      </c>
      <c r="E153" s="16" t="inlineStr">
        <is>
          <t>Thu</t>
        </is>
      </c>
      <c r="F153" s="16" t="inlineStr">
        <is>
          <t>Fri</t>
        </is>
      </c>
      <c r="G153" s="16" t="inlineStr">
        <is>
          <t>Sat</t>
        </is>
      </c>
      <c r="H153" s="16" t="inlineStr">
        <is>
          <t>Sun</t>
        </is>
      </c>
      <c r="I153" s="16" t="inlineStr">
        <is>
          <t>TOTAL</t>
        </is>
      </c>
    </row>
    <row r="154">
      <c r="A154" s="14" t="inlineStr">
        <is>
          <t>Daily Sales ($)</t>
        </is>
      </c>
      <c r="B154" s="17" t="n"/>
      <c r="C154" s="17" t="n"/>
      <c r="D154" s="17" t="n"/>
      <c r="E154" s="17" t="n"/>
      <c r="F154" s="17" t="n"/>
      <c r="G154" s="17" t="n"/>
      <c r="H154" s="17" t="n"/>
      <c r="I154" s="18">
        <f>SUM(B154:H154)</f>
        <v/>
      </c>
    </row>
    <row r="155">
      <c r="A155" s="14" t="inlineStr">
        <is>
          <t>Daily Labor Cost ($)</t>
        </is>
      </c>
      <c r="B155" s="17" t="n"/>
      <c r="C155" s="17" t="n"/>
      <c r="D155" s="17" t="n"/>
      <c r="E155" s="17" t="n"/>
      <c r="F155" s="17" t="n"/>
      <c r="G155" s="17" t="n"/>
      <c r="H155" s="17" t="n"/>
      <c r="I155" s="18">
        <f>SUM(B155:H155)</f>
        <v/>
      </c>
    </row>
    <row r="157">
      <c r="A157" s="19" t="inlineStr">
        <is>
          <t>Beginning Inventory</t>
        </is>
      </c>
      <c r="B157" s="18" t="n"/>
    </row>
    <row r="158">
      <c r="A158" s="14" t="inlineStr">
        <is>
          <t>Purchases This Week</t>
        </is>
      </c>
      <c r="B158" s="17" t="n"/>
    </row>
    <row r="159">
      <c r="A159" s="14" t="inlineStr">
        <is>
          <t>Ending Inventory</t>
        </is>
      </c>
      <c r="B159" s="17" t="n"/>
    </row>
    <row r="161">
      <c r="A161" s="20" t="inlineStr">
        <is>
          <t>WEEKLY KPIs</t>
        </is>
      </c>
      <c r="B161" s="21" t="n"/>
      <c r="C161" s="21" t="n"/>
      <c r="D161" s="21" t="n"/>
    </row>
    <row r="162">
      <c r="A162" s="14" t="inlineStr">
        <is>
          <t>COGS (Food Cost $)</t>
        </is>
      </c>
      <c r="B162" s="18">
        <f>B157+B158-B159</f>
        <v/>
      </c>
    </row>
    <row r="163">
      <c r="A163" s="14" t="inlineStr">
        <is>
          <t>Total Sales</t>
        </is>
      </c>
      <c r="B163" s="18">
        <f>I154</f>
        <v/>
      </c>
    </row>
    <row r="164">
      <c r="A164" s="14" t="inlineStr">
        <is>
          <t>Food Cost %</t>
        </is>
      </c>
      <c r="B164" s="22">
        <f>IF(B163=0,"",B162/B163)</f>
        <v/>
      </c>
    </row>
    <row r="165">
      <c r="A165" s="14" t="inlineStr">
        <is>
          <t>Total Labor</t>
        </is>
      </c>
      <c r="B165" s="18">
        <f>I155</f>
        <v/>
      </c>
    </row>
    <row r="166">
      <c r="A166" s="14" t="inlineStr">
        <is>
          <t>Labor Cost %</t>
        </is>
      </c>
      <c r="B166" s="22">
        <f>IF(B163=0,"",B165/B163)</f>
        <v/>
      </c>
    </row>
    <row r="167">
      <c r="A167" s="14" t="inlineStr">
        <is>
          <t>PRIME COST %</t>
        </is>
      </c>
      <c r="B167" s="23">
        <f>IF(B163=0,"",(B162+B165)/B163)</f>
        <v/>
      </c>
    </row>
    <row r="168">
      <c r="A168" s="14" t="inlineStr">
        <is>
          <t>Ideal Food Cost %</t>
        </is>
      </c>
      <c r="B168" s="24" t="n"/>
    </row>
    <row r="169">
      <c r="A169" s="14" t="inlineStr">
        <is>
          <t>Variance (Actual - Ideal)</t>
        </is>
      </c>
      <c r="B169" s="22">
        <f>IF(B164="","",B164-B168)</f>
        <v/>
      </c>
    </row>
    <row r="172">
      <c r="A172" s="12" t="inlineStr">
        <is>
          <t>WEEK 9</t>
        </is>
      </c>
      <c r="B172" s="13" t="n"/>
      <c r="C172" s="13" t="n"/>
      <c r="D172" s="13" t="n"/>
      <c r="E172" s="13" t="n"/>
      <c r="F172" s="13" t="n"/>
      <c r="G172" s="13" t="n"/>
      <c r="H172" s="13" t="n"/>
      <c r="I172" s="13" t="n"/>
    </row>
    <row r="173">
      <c r="A173" s="14" t="inlineStr">
        <is>
          <t>Week Starting:</t>
        </is>
      </c>
      <c r="B173" s="15" t="n"/>
    </row>
    <row r="174">
      <c r="A174" s="16" t="inlineStr"/>
      <c r="B174" s="16" t="inlineStr">
        <is>
          <t>Mon</t>
        </is>
      </c>
      <c r="C174" s="16" t="inlineStr">
        <is>
          <t>Tue</t>
        </is>
      </c>
      <c r="D174" s="16" t="inlineStr">
        <is>
          <t>Wed</t>
        </is>
      </c>
      <c r="E174" s="16" t="inlineStr">
        <is>
          <t>Thu</t>
        </is>
      </c>
      <c r="F174" s="16" t="inlineStr">
        <is>
          <t>Fri</t>
        </is>
      </c>
      <c r="G174" s="16" t="inlineStr">
        <is>
          <t>Sat</t>
        </is>
      </c>
      <c r="H174" s="16" t="inlineStr">
        <is>
          <t>Sun</t>
        </is>
      </c>
      <c r="I174" s="16" t="inlineStr">
        <is>
          <t>TOTAL</t>
        </is>
      </c>
    </row>
    <row r="175">
      <c r="A175" s="14" t="inlineStr">
        <is>
          <t>Daily Sales ($)</t>
        </is>
      </c>
      <c r="B175" s="17" t="n"/>
      <c r="C175" s="17" t="n"/>
      <c r="D175" s="17" t="n"/>
      <c r="E175" s="17" t="n"/>
      <c r="F175" s="17" t="n"/>
      <c r="G175" s="17" t="n"/>
      <c r="H175" s="17" t="n"/>
      <c r="I175" s="18">
        <f>SUM(B175:H175)</f>
        <v/>
      </c>
    </row>
    <row r="176">
      <c r="A176" s="14" t="inlineStr">
        <is>
          <t>Daily Labor Cost ($)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8">
        <f>SUM(B176:H176)</f>
        <v/>
      </c>
    </row>
    <row r="178">
      <c r="A178" s="19" t="inlineStr">
        <is>
          <t>Beginning Inventory</t>
        </is>
      </c>
      <c r="B178" s="18" t="n"/>
    </row>
    <row r="179">
      <c r="A179" s="14" t="inlineStr">
        <is>
          <t>Purchases This Week</t>
        </is>
      </c>
      <c r="B179" s="17" t="n"/>
    </row>
    <row r="180">
      <c r="A180" s="14" t="inlineStr">
        <is>
          <t>Ending Inventory</t>
        </is>
      </c>
      <c r="B180" s="17" t="n"/>
    </row>
    <row r="182">
      <c r="A182" s="20" t="inlineStr">
        <is>
          <t>WEEKLY KPIs</t>
        </is>
      </c>
      <c r="B182" s="21" t="n"/>
      <c r="C182" s="21" t="n"/>
      <c r="D182" s="21" t="n"/>
    </row>
    <row r="183">
      <c r="A183" s="14" t="inlineStr">
        <is>
          <t>COGS (Food Cost $)</t>
        </is>
      </c>
      <c r="B183" s="18">
        <f>B178+B179-B180</f>
        <v/>
      </c>
    </row>
    <row r="184">
      <c r="A184" s="14" t="inlineStr">
        <is>
          <t>Total Sales</t>
        </is>
      </c>
      <c r="B184" s="18">
        <f>I175</f>
        <v/>
      </c>
    </row>
    <row r="185">
      <c r="A185" s="14" t="inlineStr">
        <is>
          <t>Food Cost %</t>
        </is>
      </c>
      <c r="B185" s="22">
        <f>IF(B184=0,"",B183/B184)</f>
        <v/>
      </c>
    </row>
    <row r="186">
      <c r="A186" s="14" t="inlineStr">
        <is>
          <t>Total Labor</t>
        </is>
      </c>
      <c r="B186" s="18">
        <f>I176</f>
        <v/>
      </c>
    </row>
    <row r="187">
      <c r="A187" s="14" t="inlineStr">
        <is>
          <t>Labor Cost %</t>
        </is>
      </c>
      <c r="B187" s="22">
        <f>IF(B184=0,"",B186/B184)</f>
        <v/>
      </c>
    </row>
    <row r="188">
      <c r="A188" s="14" t="inlineStr">
        <is>
          <t>PRIME COST %</t>
        </is>
      </c>
      <c r="B188" s="23">
        <f>IF(B184=0,"",(B183+B186)/B184)</f>
        <v/>
      </c>
    </row>
    <row r="189">
      <c r="A189" s="14" t="inlineStr">
        <is>
          <t>Ideal Food Cost %</t>
        </is>
      </c>
      <c r="B189" s="24" t="n"/>
    </row>
    <row r="190">
      <c r="A190" s="14" t="inlineStr">
        <is>
          <t>Variance (Actual - Ideal)</t>
        </is>
      </c>
      <c r="B190" s="22">
        <f>IF(B185="","",B185-B189)</f>
        <v/>
      </c>
    </row>
    <row r="193">
      <c r="A193" s="12" t="inlineStr">
        <is>
          <t>WEEK 10</t>
        </is>
      </c>
      <c r="B193" s="13" t="n"/>
      <c r="C193" s="13" t="n"/>
      <c r="D193" s="13" t="n"/>
      <c r="E193" s="13" t="n"/>
      <c r="F193" s="13" t="n"/>
      <c r="G193" s="13" t="n"/>
      <c r="H193" s="13" t="n"/>
      <c r="I193" s="13" t="n"/>
    </row>
    <row r="194">
      <c r="A194" s="14" t="inlineStr">
        <is>
          <t>Week Starting:</t>
        </is>
      </c>
      <c r="B194" s="15" t="n"/>
    </row>
    <row r="195">
      <c r="A195" s="16" t="inlineStr"/>
      <c r="B195" s="16" t="inlineStr">
        <is>
          <t>Mon</t>
        </is>
      </c>
      <c r="C195" s="16" t="inlineStr">
        <is>
          <t>Tue</t>
        </is>
      </c>
      <c r="D195" s="16" t="inlineStr">
        <is>
          <t>Wed</t>
        </is>
      </c>
      <c r="E195" s="16" t="inlineStr">
        <is>
          <t>Thu</t>
        </is>
      </c>
      <c r="F195" s="16" t="inlineStr">
        <is>
          <t>Fri</t>
        </is>
      </c>
      <c r="G195" s="16" t="inlineStr">
        <is>
          <t>Sat</t>
        </is>
      </c>
      <c r="H195" s="16" t="inlineStr">
        <is>
          <t>Sun</t>
        </is>
      </c>
      <c r="I195" s="16" t="inlineStr">
        <is>
          <t>TOTAL</t>
        </is>
      </c>
    </row>
    <row r="196">
      <c r="A196" s="14" t="inlineStr">
        <is>
          <t>Daily Sales ($)</t>
        </is>
      </c>
      <c r="B196" s="17" t="n"/>
      <c r="C196" s="17" t="n"/>
      <c r="D196" s="17" t="n"/>
      <c r="E196" s="17" t="n"/>
      <c r="F196" s="17" t="n"/>
      <c r="G196" s="17" t="n"/>
      <c r="H196" s="17" t="n"/>
      <c r="I196" s="18">
        <f>SUM(B196:H196)</f>
        <v/>
      </c>
    </row>
    <row r="197">
      <c r="A197" s="14" t="inlineStr">
        <is>
          <t>Daily Labor Cost ($)</t>
        </is>
      </c>
      <c r="B197" s="17" t="n"/>
      <c r="C197" s="17" t="n"/>
      <c r="D197" s="17" t="n"/>
      <c r="E197" s="17" t="n"/>
      <c r="F197" s="17" t="n"/>
      <c r="G197" s="17" t="n"/>
      <c r="H197" s="17" t="n"/>
      <c r="I197" s="18">
        <f>SUM(B197:H197)</f>
        <v/>
      </c>
    </row>
    <row r="199">
      <c r="A199" s="19" t="inlineStr">
        <is>
          <t>Beginning Inventory</t>
        </is>
      </c>
      <c r="B199" s="18" t="n"/>
    </row>
    <row r="200">
      <c r="A200" s="14" t="inlineStr">
        <is>
          <t>Purchases This Week</t>
        </is>
      </c>
      <c r="B200" s="17" t="n"/>
    </row>
    <row r="201">
      <c r="A201" s="14" t="inlineStr">
        <is>
          <t>Ending Inventory</t>
        </is>
      </c>
      <c r="B201" s="17" t="n"/>
    </row>
    <row r="203">
      <c r="A203" s="20" t="inlineStr">
        <is>
          <t>WEEKLY KPIs</t>
        </is>
      </c>
      <c r="B203" s="21" t="n"/>
      <c r="C203" s="21" t="n"/>
      <c r="D203" s="21" t="n"/>
    </row>
    <row r="204">
      <c r="A204" s="14" t="inlineStr">
        <is>
          <t>COGS (Food Cost $)</t>
        </is>
      </c>
      <c r="B204" s="18">
        <f>B199+B200-B201</f>
        <v/>
      </c>
    </row>
    <row r="205">
      <c r="A205" s="14" t="inlineStr">
        <is>
          <t>Total Sales</t>
        </is>
      </c>
      <c r="B205" s="18">
        <f>I196</f>
        <v/>
      </c>
    </row>
    <row r="206">
      <c r="A206" s="14" t="inlineStr">
        <is>
          <t>Food Cost %</t>
        </is>
      </c>
      <c r="B206" s="22">
        <f>IF(B205=0,"",B204/B205)</f>
        <v/>
      </c>
    </row>
    <row r="207">
      <c r="A207" s="14" t="inlineStr">
        <is>
          <t>Total Labor</t>
        </is>
      </c>
      <c r="B207" s="18">
        <f>I197</f>
        <v/>
      </c>
    </row>
    <row r="208">
      <c r="A208" s="14" t="inlineStr">
        <is>
          <t>Labor Cost %</t>
        </is>
      </c>
      <c r="B208" s="22">
        <f>IF(B205=0,"",B207/B205)</f>
        <v/>
      </c>
    </row>
    <row r="209">
      <c r="A209" s="14" t="inlineStr">
        <is>
          <t>PRIME COST %</t>
        </is>
      </c>
      <c r="B209" s="23">
        <f>IF(B205=0,"",(B204+B207)/B205)</f>
        <v/>
      </c>
    </row>
    <row r="210">
      <c r="A210" s="14" t="inlineStr">
        <is>
          <t>Ideal Food Cost %</t>
        </is>
      </c>
      <c r="B210" s="24" t="n"/>
    </row>
    <row r="211">
      <c r="A211" s="14" t="inlineStr">
        <is>
          <t>Variance (Actual - Ideal)</t>
        </is>
      </c>
      <c r="B211" s="22">
        <f>IF(B206="","",B206-B210)</f>
        <v/>
      </c>
    </row>
    <row r="214">
      <c r="A214" s="12" t="inlineStr">
        <is>
          <t>WEEK 11</t>
        </is>
      </c>
      <c r="B214" s="13" t="n"/>
      <c r="C214" s="13" t="n"/>
      <c r="D214" s="13" t="n"/>
      <c r="E214" s="13" t="n"/>
      <c r="F214" s="13" t="n"/>
      <c r="G214" s="13" t="n"/>
      <c r="H214" s="13" t="n"/>
      <c r="I214" s="13" t="n"/>
    </row>
    <row r="215">
      <c r="A215" s="14" t="inlineStr">
        <is>
          <t>Week Starting:</t>
        </is>
      </c>
      <c r="B215" s="15" t="n"/>
    </row>
    <row r="216">
      <c r="A216" s="16" t="inlineStr"/>
      <c r="B216" s="16" t="inlineStr">
        <is>
          <t>Mon</t>
        </is>
      </c>
      <c r="C216" s="16" t="inlineStr">
        <is>
          <t>Tue</t>
        </is>
      </c>
      <c r="D216" s="16" t="inlineStr">
        <is>
          <t>Wed</t>
        </is>
      </c>
      <c r="E216" s="16" t="inlineStr">
        <is>
          <t>Thu</t>
        </is>
      </c>
      <c r="F216" s="16" t="inlineStr">
        <is>
          <t>Fri</t>
        </is>
      </c>
      <c r="G216" s="16" t="inlineStr">
        <is>
          <t>Sat</t>
        </is>
      </c>
      <c r="H216" s="16" t="inlineStr">
        <is>
          <t>Sun</t>
        </is>
      </c>
      <c r="I216" s="16" t="inlineStr">
        <is>
          <t>TOTAL</t>
        </is>
      </c>
    </row>
    <row r="217">
      <c r="A217" s="14" t="inlineStr">
        <is>
          <t>Daily Sales ($)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8">
        <f>SUM(B217:H217)</f>
        <v/>
      </c>
    </row>
    <row r="218">
      <c r="A218" s="14" t="inlineStr">
        <is>
          <t>Daily Labor Cost ($)</t>
        </is>
      </c>
      <c r="B218" s="17" t="n"/>
      <c r="C218" s="17" t="n"/>
      <c r="D218" s="17" t="n"/>
      <c r="E218" s="17" t="n"/>
      <c r="F218" s="17" t="n"/>
      <c r="G218" s="17" t="n"/>
      <c r="H218" s="17" t="n"/>
      <c r="I218" s="18">
        <f>SUM(B218:H218)</f>
        <v/>
      </c>
    </row>
    <row r="220">
      <c r="A220" s="19" t="inlineStr">
        <is>
          <t>Beginning Inventory</t>
        </is>
      </c>
      <c r="B220" s="18" t="n"/>
    </row>
    <row r="221">
      <c r="A221" s="14" t="inlineStr">
        <is>
          <t>Purchases This Week</t>
        </is>
      </c>
      <c r="B221" s="17" t="n"/>
    </row>
    <row r="222">
      <c r="A222" s="14" t="inlineStr">
        <is>
          <t>Ending Inventory</t>
        </is>
      </c>
      <c r="B222" s="17" t="n"/>
    </row>
    <row r="224">
      <c r="A224" s="20" t="inlineStr">
        <is>
          <t>WEEKLY KPIs</t>
        </is>
      </c>
      <c r="B224" s="21" t="n"/>
      <c r="C224" s="21" t="n"/>
      <c r="D224" s="21" t="n"/>
    </row>
    <row r="225">
      <c r="A225" s="14" t="inlineStr">
        <is>
          <t>COGS (Food Cost $)</t>
        </is>
      </c>
      <c r="B225" s="18">
        <f>B220+B221-B222</f>
        <v/>
      </c>
    </row>
    <row r="226">
      <c r="A226" s="14" t="inlineStr">
        <is>
          <t>Total Sales</t>
        </is>
      </c>
      <c r="B226" s="18">
        <f>I217</f>
        <v/>
      </c>
    </row>
    <row r="227">
      <c r="A227" s="14" t="inlineStr">
        <is>
          <t>Food Cost %</t>
        </is>
      </c>
      <c r="B227" s="22">
        <f>IF(B226=0,"",B225/B226)</f>
        <v/>
      </c>
    </row>
    <row r="228">
      <c r="A228" s="14" t="inlineStr">
        <is>
          <t>Total Labor</t>
        </is>
      </c>
      <c r="B228" s="18">
        <f>I218</f>
        <v/>
      </c>
    </row>
    <row r="229">
      <c r="A229" s="14" t="inlineStr">
        <is>
          <t>Labor Cost %</t>
        </is>
      </c>
      <c r="B229" s="22">
        <f>IF(B226=0,"",B228/B226)</f>
        <v/>
      </c>
    </row>
    <row r="230">
      <c r="A230" s="14" t="inlineStr">
        <is>
          <t>PRIME COST %</t>
        </is>
      </c>
      <c r="B230" s="23">
        <f>IF(B226=0,"",(B225+B228)/B226)</f>
        <v/>
      </c>
    </row>
    <row r="231">
      <c r="A231" s="14" t="inlineStr">
        <is>
          <t>Ideal Food Cost %</t>
        </is>
      </c>
      <c r="B231" s="24" t="n"/>
    </row>
    <row r="232">
      <c r="A232" s="14" t="inlineStr">
        <is>
          <t>Variance (Actual - Ideal)</t>
        </is>
      </c>
      <c r="B232" s="22">
        <f>IF(B227="","",B227-B231)</f>
        <v/>
      </c>
    </row>
    <row r="235">
      <c r="A235" s="12" t="inlineStr">
        <is>
          <t>WEEK 12</t>
        </is>
      </c>
      <c r="B235" s="13" t="n"/>
      <c r="C235" s="13" t="n"/>
      <c r="D235" s="13" t="n"/>
      <c r="E235" s="13" t="n"/>
      <c r="F235" s="13" t="n"/>
      <c r="G235" s="13" t="n"/>
      <c r="H235" s="13" t="n"/>
      <c r="I235" s="13" t="n"/>
    </row>
    <row r="236">
      <c r="A236" s="14" t="inlineStr">
        <is>
          <t>Week Starting:</t>
        </is>
      </c>
      <c r="B236" s="15" t="n"/>
    </row>
    <row r="237">
      <c r="A237" s="16" t="inlineStr"/>
      <c r="B237" s="16" t="inlineStr">
        <is>
          <t>Mon</t>
        </is>
      </c>
      <c r="C237" s="16" t="inlineStr">
        <is>
          <t>Tue</t>
        </is>
      </c>
      <c r="D237" s="16" t="inlineStr">
        <is>
          <t>Wed</t>
        </is>
      </c>
      <c r="E237" s="16" t="inlineStr">
        <is>
          <t>Thu</t>
        </is>
      </c>
      <c r="F237" s="16" t="inlineStr">
        <is>
          <t>Fri</t>
        </is>
      </c>
      <c r="G237" s="16" t="inlineStr">
        <is>
          <t>Sat</t>
        </is>
      </c>
      <c r="H237" s="16" t="inlineStr">
        <is>
          <t>Sun</t>
        </is>
      </c>
      <c r="I237" s="16" t="inlineStr">
        <is>
          <t>TOTAL</t>
        </is>
      </c>
    </row>
    <row r="238">
      <c r="A238" s="14" t="inlineStr">
        <is>
          <t>Daily Sales ($)</t>
        </is>
      </c>
      <c r="B238" s="17" t="n"/>
      <c r="C238" s="17" t="n"/>
      <c r="D238" s="17" t="n"/>
      <c r="E238" s="17" t="n"/>
      <c r="F238" s="17" t="n"/>
      <c r="G238" s="17" t="n"/>
      <c r="H238" s="17" t="n"/>
      <c r="I238" s="18">
        <f>SUM(B238:H238)</f>
        <v/>
      </c>
    </row>
    <row r="239">
      <c r="A239" s="14" t="inlineStr">
        <is>
          <t>Daily Labor Cost ($)</t>
        </is>
      </c>
      <c r="B239" s="17" t="n"/>
      <c r="C239" s="17" t="n"/>
      <c r="D239" s="17" t="n"/>
      <c r="E239" s="17" t="n"/>
      <c r="F239" s="17" t="n"/>
      <c r="G239" s="17" t="n"/>
      <c r="H239" s="17" t="n"/>
      <c r="I239" s="18">
        <f>SUM(B239:H239)</f>
        <v/>
      </c>
    </row>
    <row r="241">
      <c r="A241" s="19" t="inlineStr">
        <is>
          <t>Beginning Inventory</t>
        </is>
      </c>
      <c r="B241" s="18" t="n"/>
    </row>
    <row r="242">
      <c r="A242" s="14" t="inlineStr">
        <is>
          <t>Purchases This Week</t>
        </is>
      </c>
      <c r="B242" s="17" t="n"/>
    </row>
    <row r="243">
      <c r="A243" s="14" t="inlineStr">
        <is>
          <t>Ending Inventory</t>
        </is>
      </c>
      <c r="B243" s="17" t="n"/>
    </row>
    <row r="245">
      <c r="A245" s="20" t="inlineStr">
        <is>
          <t>WEEKLY KPIs</t>
        </is>
      </c>
      <c r="B245" s="21" t="n"/>
      <c r="C245" s="21" t="n"/>
      <c r="D245" s="21" t="n"/>
    </row>
    <row r="246">
      <c r="A246" s="14" t="inlineStr">
        <is>
          <t>COGS (Food Cost $)</t>
        </is>
      </c>
      <c r="B246" s="18">
        <f>B241+B242-B243</f>
        <v/>
      </c>
    </row>
    <row r="247">
      <c r="A247" s="14" t="inlineStr">
        <is>
          <t>Total Sales</t>
        </is>
      </c>
      <c r="B247" s="18">
        <f>I238</f>
        <v/>
      </c>
    </row>
    <row r="248">
      <c r="A248" s="14" t="inlineStr">
        <is>
          <t>Food Cost %</t>
        </is>
      </c>
      <c r="B248" s="22">
        <f>IF(B247=0,"",B246/B247)</f>
        <v/>
      </c>
    </row>
    <row r="249">
      <c r="A249" s="14" t="inlineStr">
        <is>
          <t>Total Labor</t>
        </is>
      </c>
      <c r="B249" s="18">
        <f>I239</f>
        <v/>
      </c>
    </row>
    <row r="250">
      <c r="A250" s="14" t="inlineStr">
        <is>
          <t>Labor Cost %</t>
        </is>
      </c>
      <c r="B250" s="22">
        <f>IF(B247=0,"",B249/B247)</f>
        <v/>
      </c>
    </row>
    <row r="251">
      <c r="A251" s="14" t="inlineStr">
        <is>
          <t>PRIME COST %</t>
        </is>
      </c>
      <c r="B251" s="23">
        <f>IF(B247=0,"",(B246+B249)/B247)</f>
        <v/>
      </c>
    </row>
    <row r="252">
      <c r="A252" s="14" t="inlineStr">
        <is>
          <t>Ideal Food Cost %</t>
        </is>
      </c>
      <c r="B252" s="24" t="n"/>
    </row>
    <row r="253">
      <c r="A253" s="14" t="inlineStr">
        <is>
          <t>Variance (Actual - Ideal)</t>
        </is>
      </c>
      <c r="B253" s="22">
        <f>IF(B248="","",B248-B252)</f>
        <v/>
      </c>
    </row>
    <row r="256">
      <c r="A256" s="12" t="inlineStr">
        <is>
          <t>WEEK 13</t>
        </is>
      </c>
      <c r="B256" s="13" t="n"/>
      <c r="C256" s="13" t="n"/>
      <c r="D256" s="13" t="n"/>
      <c r="E256" s="13" t="n"/>
      <c r="F256" s="13" t="n"/>
      <c r="G256" s="13" t="n"/>
      <c r="H256" s="13" t="n"/>
      <c r="I256" s="13" t="n"/>
    </row>
    <row r="257">
      <c r="A257" s="14" t="inlineStr">
        <is>
          <t>Week Starting:</t>
        </is>
      </c>
      <c r="B257" s="15" t="n"/>
    </row>
    <row r="258">
      <c r="A258" s="16" t="inlineStr"/>
      <c r="B258" s="16" t="inlineStr">
        <is>
          <t>Mon</t>
        </is>
      </c>
      <c r="C258" s="16" t="inlineStr">
        <is>
          <t>Tue</t>
        </is>
      </c>
      <c r="D258" s="16" t="inlineStr">
        <is>
          <t>Wed</t>
        </is>
      </c>
      <c r="E258" s="16" t="inlineStr">
        <is>
          <t>Thu</t>
        </is>
      </c>
      <c r="F258" s="16" t="inlineStr">
        <is>
          <t>Fri</t>
        </is>
      </c>
      <c r="G258" s="16" t="inlineStr">
        <is>
          <t>Sat</t>
        </is>
      </c>
      <c r="H258" s="16" t="inlineStr">
        <is>
          <t>Sun</t>
        </is>
      </c>
      <c r="I258" s="16" t="inlineStr">
        <is>
          <t>TOTAL</t>
        </is>
      </c>
    </row>
    <row r="259">
      <c r="A259" s="14" t="inlineStr">
        <is>
          <t>Daily Sales ($)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8">
        <f>SUM(B259:H259)</f>
        <v/>
      </c>
    </row>
    <row r="260">
      <c r="A260" s="14" t="inlineStr">
        <is>
          <t>Daily Labor Cost ($)</t>
        </is>
      </c>
      <c r="B260" s="17" t="n"/>
      <c r="C260" s="17" t="n"/>
      <c r="D260" s="17" t="n"/>
      <c r="E260" s="17" t="n"/>
      <c r="F260" s="17" t="n"/>
      <c r="G260" s="17" t="n"/>
      <c r="H260" s="17" t="n"/>
      <c r="I260" s="18">
        <f>SUM(B260:H260)</f>
        <v/>
      </c>
    </row>
    <row r="262">
      <c r="A262" s="19" t="inlineStr">
        <is>
          <t>Beginning Inventory</t>
        </is>
      </c>
      <c r="B262" s="18" t="n"/>
    </row>
    <row r="263">
      <c r="A263" s="14" t="inlineStr">
        <is>
          <t>Purchases This Week</t>
        </is>
      </c>
      <c r="B263" s="17" t="n"/>
    </row>
    <row r="264">
      <c r="A264" s="14" t="inlineStr">
        <is>
          <t>Ending Inventory</t>
        </is>
      </c>
      <c r="B264" s="17" t="n"/>
    </row>
    <row r="266">
      <c r="A266" s="20" t="inlineStr">
        <is>
          <t>WEEKLY KPIs</t>
        </is>
      </c>
      <c r="B266" s="21" t="n"/>
      <c r="C266" s="21" t="n"/>
      <c r="D266" s="21" t="n"/>
    </row>
    <row r="267">
      <c r="A267" s="14" t="inlineStr">
        <is>
          <t>COGS (Food Cost $)</t>
        </is>
      </c>
      <c r="B267" s="18">
        <f>B262+B263-B264</f>
        <v/>
      </c>
    </row>
    <row r="268">
      <c r="A268" s="14" t="inlineStr">
        <is>
          <t>Total Sales</t>
        </is>
      </c>
      <c r="B268" s="18">
        <f>I259</f>
        <v/>
      </c>
    </row>
    <row r="269">
      <c r="A269" s="14" t="inlineStr">
        <is>
          <t>Food Cost %</t>
        </is>
      </c>
      <c r="B269" s="22">
        <f>IF(B268=0,"",B267/B268)</f>
        <v/>
      </c>
    </row>
    <row r="270">
      <c r="A270" s="14" t="inlineStr">
        <is>
          <t>Total Labor</t>
        </is>
      </c>
      <c r="B270" s="18">
        <f>I260</f>
        <v/>
      </c>
    </row>
    <row r="271">
      <c r="A271" s="14" t="inlineStr">
        <is>
          <t>Labor Cost %</t>
        </is>
      </c>
      <c r="B271" s="22">
        <f>IF(B268=0,"",B270/B268)</f>
        <v/>
      </c>
    </row>
    <row r="272">
      <c r="A272" s="14" t="inlineStr">
        <is>
          <t>PRIME COST %</t>
        </is>
      </c>
      <c r="B272" s="23">
        <f>IF(B268=0,"",(B267+B270)/B268)</f>
        <v/>
      </c>
    </row>
    <row r="273">
      <c r="A273" s="14" t="inlineStr">
        <is>
          <t>Ideal Food Cost %</t>
        </is>
      </c>
      <c r="B273" s="24" t="n"/>
    </row>
    <row r="274">
      <c r="A274" s="14" t="inlineStr">
        <is>
          <t>Variance (Actual - Ideal)</t>
        </is>
      </c>
      <c r="B274" s="22">
        <f>IF(B269="","",B269-B273)</f>
        <v/>
      </c>
    </row>
    <row r="276">
      <c r="A276" s="25" t="inlineStr">
        <is>
          <t>Built by The Grumpy Chef — thegrumpychef.ca</t>
        </is>
      </c>
    </row>
  </sheetData>
  <mergeCells count="29">
    <mergeCell ref="A25:I25"/>
    <mergeCell ref="A172:I172"/>
    <mergeCell ref="A35:D35"/>
    <mergeCell ref="A46:I46"/>
    <mergeCell ref="A193:I193"/>
    <mergeCell ref="A224:D224"/>
    <mergeCell ref="A140:D140"/>
    <mergeCell ref="A214:I214"/>
    <mergeCell ref="A161:D161"/>
    <mergeCell ref="A151:I151"/>
    <mergeCell ref="A2:I2"/>
    <mergeCell ref="A235:I235"/>
    <mergeCell ref="A245:D245"/>
    <mergeCell ref="A77:D77"/>
    <mergeCell ref="A182:D182"/>
    <mergeCell ref="A109:I109"/>
    <mergeCell ref="A266:D266"/>
    <mergeCell ref="A4:I4"/>
    <mergeCell ref="A98:D98"/>
    <mergeCell ref="A119:D119"/>
    <mergeCell ref="A67:I67"/>
    <mergeCell ref="A276:I276"/>
    <mergeCell ref="A130:I130"/>
    <mergeCell ref="A56:D56"/>
    <mergeCell ref="A1:I1"/>
    <mergeCell ref="A88:I88"/>
    <mergeCell ref="A256:I256"/>
    <mergeCell ref="A14:D14"/>
    <mergeCell ref="A203:D203"/>
  </mergeCells>
  <conditionalFormatting sqref="B20">
    <cfRule type="cellIs" priority="1" operator="lessThanOrEqual" dxfId="0">
      <formula>0.6</formula>
    </cfRule>
    <cfRule type="cellIs" priority="2" operator="between" dxfId="1">
      <formula>0.601</formula>
      <formula>0.65</formula>
    </cfRule>
    <cfRule type="cellIs" priority="3" operator="greaterThan" dxfId="2">
      <formula>0.65</formula>
    </cfRule>
  </conditionalFormatting>
  <conditionalFormatting sqref="B17">
    <cfRule type="cellIs" priority="4" operator="lessThanOrEqual" dxfId="0">
      <formula>0.28</formula>
    </cfRule>
    <cfRule type="cellIs" priority="5" operator="between" dxfId="1">
      <formula>0.281</formula>
      <formula>0.35</formula>
    </cfRule>
    <cfRule type="cellIs" priority="6" operator="greaterThan" dxfId="2">
      <formula>0.35</formula>
    </cfRule>
  </conditionalFormatting>
  <conditionalFormatting sqref="B41">
    <cfRule type="cellIs" priority="7" operator="lessThanOrEqual" dxfId="0">
      <formula>0.6</formula>
    </cfRule>
    <cfRule type="cellIs" priority="8" operator="between" dxfId="1">
      <formula>0.601</formula>
      <formula>0.65</formula>
    </cfRule>
    <cfRule type="cellIs" priority="9" operator="greaterThan" dxfId="2">
      <formula>0.65</formula>
    </cfRule>
  </conditionalFormatting>
  <conditionalFormatting sqref="B38">
    <cfRule type="cellIs" priority="10" operator="lessThanOrEqual" dxfId="0">
      <formula>0.28</formula>
    </cfRule>
    <cfRule type="cellIs" priority="11" operator="between" dxfId="1">
      <formula>0.281</formula>
      <formula>0.35</formula>
    </cfRule>
    <cfRule type="cellIs" priority="12" operator="greaterThan" dxfId="2">
      <formula>0.35</formula>
    </cfRule>
  </conditionalFormatting>
  <conditionalFormatting sqref="B62">
    <cfRule type="cellIs" priority="13" operator="lessThanOrEqual" dxfId="0">
      <formula>0.6</formula>
    </cfRule>
    <cfRule type="cellIs" priority="14" operator="between" dxfId="1">
      <formula>0.601</formula>
      <formula>0.65</formula>
    </cfRule>
    <cfRule type="cellIs" priority="15" operator="greaterThan" dxfId="2">
      <formula>0.65</formula>
    </cfRule>
  </conditionalFormatting>
  <conditionalFormatting sqref="B59">
    <cfRule type="cellIs" priority="16" operator="lessThanOrEqual" dxfId="0">
      <formula>0.28</formula>
    </cfRule>
    <cfRule type="cellIs" priority="17" operator="between" dxfId="1">
      <formula>0.281</formula>
      <formula>0.35</formula>
    </cfRule>
    <cfRule type="cellIs" priority="18" operator="greaterThan" dxfId="2">
      <formula>0.35</formula>
    </cfRule>
  </conditionalFormatting>
  <conditionalFormatting sqref="B83">
    <cfRule type="cellIs" priority="19" operator="lessThanOrEqual" dxfId="0">
      <formula>0.6</formula>
    </cfRule>
    <cfRule type="cellIs" priority="20" operator="between" dxfId="1">
      <formula>0.601</formula>
      <formula>0.65</formula>
    </cfRule>
    <cfRule type="cellIs" priority="21" operator="greaterThan" dxfId="2">
      <formula>0.65</formula>
    </cfRule>
  </conditionalFormatting>
  <conditionalFormatting sqref="B80">
    <cfRule type="cellIs" priority="22" operator="lessThanOrEqual" dxfId="0">
      <formula>0.28</formula>
    </cfRule>
    <cfRule type="cellIs" priority="23" operator="between" dxfId="1">
      <formula>0.281</formula>
      <formula>0.35</formula>
    </cfRule>
    <cfRule type="cellIs" priority="24" operator="greaterThan" dxfId="2">
      <formula>0.35</formula>
    </cfRule>
  </conditionalFormatting>
  <conditionalFormatting sqref="B104">
    <cfRule type="cellIs" priority="25" operator="lessThanOrEqual" dxfId="0">
      <formula>0.6</formula>
    </cfRule>
    <cfRule type="cellIs" priority="26" operator="between" dxfId="1">
      <formula>0.601</formula>
      <formula>0.65</formula>
    </cfRule>
    <cfRule type="cellIs" priority="27" operator="greaterThan" dxfId="2">
      <formula>0.65</formula>
    </cfRule>
  </conditionalFormatting>
  <conditionalFormatting sqref="B101">
    <cfRule type="cellIs" priority="28" operator="lessThanOrEqual" dxfId="0">
      <formula>0.28</formula>
    </cfRule>
    <cfRule type="cellIs" priority="29" operator="between" dxfId="1">
      <formula>0.281</formula>
      <formula>0.35</formula>
    </cfRule>
    <cfRule type="cellIs" priority="30" operator="greaterThan" dxfId="2">
      <formula>0.35</formula>
    </cfRule>
  </conditionalFormatting>
  <conditionalFormatting sqref="B125">
    <cfRule type="cellIs" priority="31" operator="lessThanOrEqual" dxfId="0">
      <formula>0.6</formula>
    </cfRule>
    <cfRule type="cellIs" priority="32" operator="between" dxfId="1">
      <formula>0.601</formula>
      <formula>0.65</formula>
    </cfRule>
    <cfRule type="cellIs" priority="33" operator="greaterThan" dxfId="2">
      <formula>0.65</formula>
    </cfRule>
  </conditionalFormatting>
  <conditionalFormatting sqref="B122">
    <cfRule type="cellIs" priority="34" operator="lessThanOrEqual" dxfId="0">
      <formula>0.28</formula>
    </cfRule>
    <cfRule type="cellIs" priority="35" operator="between" dxfId="1">
      <formula>0.281</formula>
      <formula>0.35</formula>
    </cfRule>
    <cfRule type="cellIs" priority="36" operator="greaterThan" dxfId="2">
      <formula>0.35</formula>
    </cfRule>
  </conditionalFormatting>
  <conditionalFormatting sqref="B146">
    <cfRule type="cellIs" priority="37" operator="lessThanOrEqual" dxfId="0">
      <formula>0.6</formula>
    </cfRule>
    <cfRule type="cellIs" priority="38" operator="between" dxfId="1">
      <formula>0.601</formula>
      <formula>0.65</formula>
    </cfRule>
    <cfRule type="cellIs" priority="39" operator="greaterThan" dxfId="2">
      <formula>0.65</formula>
    </cfRule>
  </conditionalFormatting>
  <conditionalFormatting sqref="B143">
    <cfRule type="cellIs" priority="40" operator="lessThanOrEqual" dxfId="0">
      <formula>0.28</formula>
    </cfRule>
    <cfRule type="cellIs" priority="41" operator="between" dxfId="1">
      <formula>0.281</formula>
      <formula>0.35</formula>
    </cfRule>
    <cfRule type="cellIs" priority="42" operator="greaterThan" dxfId="2">
      <formula>0.35</formula>
    </cfRule>
  </conditionalFormatting>
  <conditionalFormatting sqref="B167">
    <cfRule type="cellIs" priority="43" operator="lessThanOrEqual" dxfId="0">
      <formula>0.6</formula>
    </cfRule>
    <cfRule type="cellIs" priority="44" operator="between" dxfId="1">
      <formula>0.601</formula>
      <formula>0.65</formula>
    </cfRule>
    <cfRule type="cellIs" priority="45" operator="greaterThan" dxfId="2">
      <formula>0.65</formula>
    </cfRule>
  </conditionalFormatting>
  <conditionalFormatting sqref="B164">
    <cfRule type="cellIs" priority="46" operator="lessThanOrEqual" dxfId="0">
      <formula>0.28</formula>
    </cfRule>
    <cfRule type="cellIs" priority="47" operator="between" dxfId="1">
      <formula>0.281</formula>
      <formula>0.35</formula>
    </cfRule>
    <cfRule type="cellIs" priority="48" operator="greaterThan" dxfId="2">
      <formula>0.35</formula>
    </cfRule>
  </conditionalFormatting>
  <conditionalFormatting sqref="B188">
    <cfRule type="cellIs" priority="49" operator="lessThanOrEqual" dxfId="0">
      <formula>0.6</formula>
    </cfRule>
    <cfRule type="cellIs" priority="50" operator="between" dxfId="1">
      <formula>0.601</formula>
      <formula>0.65</formula>
    </cfRule>
    <cfRule type="cellIs" priority="51" operator="greaterThan" dxfId="2">
      <formula>0.65</formula>
    </cfRule>
  </conditionalFormatting>
  <conditionalFormatting sqref="B185">
    <cfRule type="cellIs" priority="52" operator="lessThanOrEqual" dxfId="0">
      <formula>0.28</formula>
    </cfRule>
    <cfRule type="cellIs" priority="53" operator="between" dxfId="1">
      <formula>0.281</formula>
      <formula>0.35</formula>
    </cfRule>
    <cfRule type="cellIs" priority="54" operator="greaterThan" dxfId="2">
      <formula>0.35</formula>
    </cfRule>
  </conditionalFormatting>
  <conditionalFormatting sqref="B209">
    <cfRule type="cellIs" priority="55" operator="lessThanOrEqual" dxfId="0">
      <formula>0.6</formula>
    </cfRule>
    <cfRule type="cellIs" priority="56" operator="between" dxfId="1">
      <formula>0.601</formula>
      <formula>0.65</formula>
    </cfRule>
    <cfRule type="cellIs" priority="57" operator="greaterThan" dxfId="2">
      <formula>0.65</formula>
    </cfRule>
  </conditionalFormatting>
  <conditionalFormatting sqref="B206">
    <cfRule type="cellIs" priority="58" operator="lessThanOrEqual" dxfId="0">
      <formula>0.28</formula>
    </cfRule>
    <cfRule type="cellIs" priority="59" operator="between" dxfId="1">
      <formula>0.281</formula>
      <formula>0.35</formula>
    </cfRule>
    <cfRule type="cellIs" priority="60" operator="greaterThan" dxfId="2">
      <formula>0.35</formula>
    </cfRule>
  </conditionalFormatting>
  <conditionalFormatting sqref="B230">
    <cfRule type="cellIs" priority="61" operator="lessThanOrEqual" dxfId="0">
      <formula>0.6</formula>
    </cfRule>
    <cfRule type="cellIs" priority="62" operator="between" dxfId="1">
      <formula>0.601</formula>
      <formula>0.65</formula>
    </cfRule>
    <cfRule type="cellIs" priority="63" operator="greaterThan" dxfId="2">
      <formula>0.65</formula>
    </cfRule>
  </conditionalFormatting>
  <conditionalFormatting sqref="B227">
    <cfRule type="cellIs" priority="64" operator="lessThanOrEqual" dxfId="0">
      <formula>0.28</formula>
    </cfRule>
    <cfRule type="cellIs" priority="65" operator="between" dxfId="1">
      <formula>0.281</formula>
      <formula>0.35</formula>
    </cfRule>
    <cfRule type="cellIs" priority="66" operator="greaterThan" dxfId="2">
      <formula>0.35</formula>
    </cfRule>
  </conditionalFormatting>
  <conditionalFormatting sqref="B251">
    <cfRule type="cellIs" priority="67" operator="lessThanOrEqual" dxfId="0">
      <formula>0.6</formula>
    </cfRule>
    <cfRule type="cellIs" priority="68" operator="between" dxfId="1">
      <formula>0.601</formula>
      <formula>0.65</formula>
    </cfRule>
    <cfRule type="cellIs" priority="69" operator="greaterThan" dxfId="2">
      <formula>0.65</formula>
    </cfRule>
  </conditionalFormatting>
  <conditionalFormatting sqref="B248">
    <cfRule type="cellIs" priority="70" operator="lessThanOrEqual" dxfId="0">
      <formula>0.28</formula>
    </cfRule>
    <cfRule type="cellIs" priority="71" operator="between" dxfId="1">
      <formula>0.281</formula>
      <formula>0.35</formula>
    </cfRule>
    <cfRule type="cellIs" priority="72" operator="greaterThan" dxfId="2">
      <formula>0.35</formula>
    </cfRule>
  </conditionalFormatting>
  <conditionalFormatting sqref="B272">
    <cfRule type="cellIs" priority="73" operator="lessThanOrEqual" dxfId="0">
      <formula>0.6</formula>
    </cfRule>
    <cfRule type="cellIs" priority="74" operator="between" dxfId="1">
      <formula>0.601</formula>
      <formula>0.65</formula>
    </cfRule>
    <cfRule type="cellIs" priority="75" operator="greaterThan" dxfId="2">
      <formula>0.65</formula>
    </cfRule>
  </conditionalFormatting>
  <conditionalFormatting sqref="B269">
    <cfRule type="cellIs" priority="76" operator="lessThanOrEqual" dxfId="0">
      <formula>0.28</formula>
    </cfRule>
    <cfRule type="cellIs" priority="77" operator="between" dxfId="1">
      <formula>0.281</formula>
      <formula>0.35</formula>
    </cfRule>
    <cfRule type="cellIs" priority="78" operator="greaterThan" dxfId="2">
      <formula>0.35</formula>
    </cfRule>
  </conditionalFormatting>
  <pageMargins left="0.75" right="0.75" top="1" bottom="1" header="0.5" footer="0.5"/>
  <pageSetup orientation="landscape" fitToHeight="0" fitToWidth="1"/>
  <headerFooter>
    <oddHeader/>
    <oddFooter>&amp;CBuilt by The Grumpy Chef — thegrumpychef.ca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2026-02-25T19:27:24Z</dcterms:created>
  <dcterms:modified xsi:type="dcterms:W3CDTF">2026-02-25T19:27:24Z</dcterms:modified>
</cp:coreProperties>
</file>